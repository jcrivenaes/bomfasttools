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jekter" sheetId="1" state="visible" r:id="rId3"/>
    <sheet name="prosjekter_korrigert" sheetId="2" state="visible" r:id="rId4"/>
    <sheet name="Utregninger opprinnelig" sheetId="3" state="visible" r:id="rId5"/>
    <sheet name="Utregninger korrigert" sheetId="4" state="visible" r:id="rId6"/>
    <sheet name="gillesvik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<sst xmlns="http://schemas.openxmlformats.org/spreadsheetml/2006/main" count="1093" uniqueCount="157">
  <si>
    <t xml:space="preserve">virksomhet</t>
  </si>
  <si>
    <t xml:space="preserve">status</t>
  </si>
  <si>
    <t xml:space="preserve">navn</t>
  </si>
  <si>
    <t xml:space="preserve">kostnadsramme_2026</t>
  </si>
  <si>
    <t xml:space="preserve">aar_ferdig</t>
  </si>
  <si>
    <t xml:space="preserve">sluttkostnad</t>
  </si>
  <si>
    <t xml:space="preserve">stat_doc</t>
  </si>
  <si>
    <t xml:space="preserve">annen_finansiering</t>
  </si>
  <si>
    <t xml:space="preserve">landsdel_doc</t>
  </si>
  <si>
    <t xml:space="preserve">merknad</t>
  </si>
  <si>
    <t xml:space="preserve">stat_doc_brukes</t>
  </si>
  <si>
    <t xml:space="preserve">Statens vegvesen</t>
  </si>
  <si>
    <t xml:space="preserve">Ferdig</t>
  </si>
  <si>
    <t xml:space="preserve">E39 Hjartåberga</t>
  </si>
  <si>
    <t xml:space="preserve">Vestlandet</t>
  </si>
  <si>
    <t xml:space="preserve">Rv. 70 Oppdølstranda</t>
  </si>
  <si>
    <t xml:space="preserve">E18 Melleby–Momarken</t>
  </si>
  <si>
    <t xml:space="preserve">Østlandet</t>
  </si>
  <si>
    <t xml:space="preserve">Rv. 7 Sokna–Ørgenvika</t>
  </si>
  <si>
    <t xml:space="preserve">Rv. 2 Kongsvinger–Slomarka</t>
  </si>
  <si>
    <t xml:space="preserve">E18 Gulli–Langåker</t>
  </si>
  <si>
    <t xml:space="preserve">E16 Smedalsosen–Maristova–Borlaug</t>
  </si>
  <si>
    <t xml:space="preserve">Vestlandet/Østlandet</t>
  </si>
  <si>
    <t xml:space="preserve">E10 Solbjørnneset–Hamnøy</t>
  </si>
  <si>
    <t xml:space="preserve">Nord-Norge</t>
  </si>
  <si>
    <t xml:space="preserve">E18 Bjørvika</t>
  </si>
  <si>
    <t xml:space="preserve">E6 Minnesund–Skaberud</t>
  </si>
  <si>
    <t xml:space="preserve">E18 Sydhavna</t>
  </si>
  <si>
    <t xml:space="preserve">E136 Tresfjordbrua og Vågstrandstunnelen</t>
  </si>
  <si>
    <t xml:space="preserve">E6 Halselv–Møllnes</t>
  </si>
  <si>
    <t xml:space="preserve">E18 Knapstad–Retvet</t>
  </si>
  <si>
    <t xml:space="preserve">E6 Frya–Sjoa (Ringebu–Otta)</t>
  </si>
  <si>
    <t xml:space="preserve">Rv. 4 Lunner grense–Jaren og Lynga sør</t>
  </si>
  <si>
    <t xml:space="preserve">E18 Riksgrensen–Ørje</t>
  </si>
  <si>
    <t xml:space="preserve">E39 Hove–Sandved</t>
  </si>
  <si>
    <t xml:space="preserve">Kostnadsramme «-898» gjengitt slik den står i dokumentet (sannsynlig feil)</t>
  </si>
  <si>
    <t xml:space="preserve">E16 Varpe bru–Otrøsosen–Smedalsosen</t>
  </si>
  <si>
    <t xml:space="preserve">E6 Indre Nordnes–Skardalen</t>
  </si>
  <si>
    <t xml:space="preserve">E105 Elvenes–Hesseng</t>
  </si>
  <si>
    <t xml:space="preserve">E6 Sørkjosfjellet</t>
  </si>
  <si>
    <t xml:space="preserve">E6 Hålogalandsbrua inkl Trældal–Leirvik</t>
  </si>
  <si>
    <t xml:space="preserve">E18 Bommestad–Sky</t>
  </si>
  <si>
    <t xml:space="preserve">Rv. 36 Skyggestein–Skjelbredstrand</t>
  </si>
  <si>
    <t xml:space="preserve">Rv. 110 Simo–Ørebekk</t>
  </si>
  <si>
    <t xml:space="preserve">E134 Gvammen–Århus</t>
  </si>
  <si>
    <t xml:space="preserve">E6 Helgeland nord</t>
  </si>
  <si>
    <t xml:space="preserve">E6 Jaktøya–Klett–Sentervegen</t>
  </si>
  <si>
    <t xml:space="preserve">Trøndelag</t>
  </si>
  <si>
    <t xml:space="preserve">Rv. 80 Hunstadmoen–Thallekrysset</t>
  </si>
  <si>
    <t xml:space="preserve">E39 Bjørset–Skei</t>
  </si>
  <si>
    <t xml:space="preserve">E6 Tømmernes-, Forså-, Fagernes-, Larsberg-, Skardal- og Isfjelltunnelene</t>
  </si>
  <si>
    <t xml:space="preserve">E6 Ekeberg- og Svardalstunnelene</t>
  </si>
  <si>
    <t xml:space="preserve">E16 Bagn–Bjørgo</t>
  </si>
  <si>
    <t xml:space="preserve">E16 Sandvika–Wøyen</t>
  </si>
  <si>
    <t xml:space="preserve">E16 Øye–Eidsbru</t>
  </si>
  <si>
    <t xml:space="preserve">Rv. 13 Ryfast</t>
  </si>
  <si>
    <t xml:space="preserve">E134 Damåsen–Saggrenda</t>
  </si>
  <si>
    <t xml:space="preserve">E6 Vindåsliene–Korporalsbrua</t>
  </si>
  <si>
    <t xml:space="preserve">E39 Eiganestunnelen</t>
  </si>
  <si>
    <t xml:space="preserve">E18 Varoddbrua</t>
  </si>
  <si>
    <t xml:space="preserve">Sørlandet</t>
  </si>
  <si>
    <t xml:space="preserve">E69 Skarvbergtunnelen</t>
  </si>
  <si>
    <t xml:space="preserve">E39 Svegatjørn–Rådal</t>
  </si>
  <si>
    <t xml:space="preserve">E16 Eggemoen–Jevnaker–Olum</t>
  </si>
  <si>
    <t xml:space="preserve">E6 Bognes–Skarberget og rv. 827 Drag–Kjøpsvik</t>
  </si>
  <si>
    <t xml:space="preserve">Rv. 3/rv. 25 Ommangsvollen–Grundset/Basthjørnet</t>
  </si>
  <si>
    <t xml:space="preserve">Kostnadsramme ikke oppgitt i dokumentet</t>
  </si>
  <si>
    <t xml:space="preserve">Rv. 5 Kjøsnesfjorden</t>
  </si>
  <si>
    <t xml:space="preserve">E16 Gudvanga- og Flenjatunnelene</t>
  </si>
  <si>
    <t xml:space="preserve">Rv. 706 Nydalsbrua med tilknytingar</t>
  </si>
  <si>
    <t xml:space="preserve">E39 Kristianborg–Bergen sentrum (Sykkelstamveien)</t>
  </si>
  <si>
    <t xml:space="preserve">E39 Sykkelstamveien, Sørmarka–Smeaheia</t>
  </si>
  <si>
    <t xml:space="preserve">E39 Lønset–Hjelset</t>
  </si>
  <si>
    <t xml:space="preserve">E16 Bjørum–Skaret</t>
  </si>
  <si>
    <t xml:space="preserve">Rv. 4 Roa–Gran, inkl. Jaren–Amundrund/Almenningseidet–Lygnebakken</t>
  </si>
  <si>
    <t xml:space="preserve">E16 Dalevåg-, Dalseid-, Trollkone-, Hernes- og Hyvingtunnelene</t>
  </si>
  <si>
    <t xml:space="preserve">E6 Helgeland sør</t>
  </si>
  <si>
    <t xml:space="preserve">Under bygging</t>
  </si>
  <si>
    <t xml:space="preserve">E39 Betna–Vinjeøra–Stormyra</t>
  </si>
  <si>
    <t xml:space="preserve">E8 Sørbotn–Laukslett</t>
  </si>
  <si>
    <t xml:space="preserve">E136 Breivika–Lerstad</t>
  </si>
  <si>
    <t xml:space="preserve">Ring 1 Hammersborgtunnelen</t>
  </si>
  <si>
    <t xml:space="preserve">I regi av SVV i samarbeid med Statsbygg, finansiert over DFD-budsjettet</t>
  </si>
  <si>
    <t xml:space="preserve">Rv. 555 Sotrasambandet (OPS)</t>
  </si>
  <si>
    <t xml:space="preserve">OPS – vedtatt øvre ramme inkl. drift/vedlikehold</t>
  </si>
  <si>
    <t xml:space="preserve">E18/E39 Gartnerløkka–Kolsdalen</t>
  </si>
  <si>
    <t xml:space="preserve">E18 Lysaker–Ramstadsletta</t>
  </si>
  <si>
    <t xml:space="preserve">E10/rv. 85 Tjeldsund–Gullesfjordbotn–Langvassbukt (OPS)</t>
  </si>
  <si>
    <t xml:space="preserve">Rv. 555 Damsgård-/Nygårdtunnelene</t>
  </si>
  <si>
    <t xml:space="preserve">Rv. 70 Vikansvingen–Kontrollplassen</t>
  </si>
  <si>
    <t xml:space="preserve">Rv. 13 Lovraeidet–Rødsliane</t>
  </si>
  <si>
    <t xml:space="preserve">E45 Kløfta</t>
  </si>
  <si>
    <t xml:space="preserve">E134 Røldal–Seljestad</t>
  </si>
  <si>
    <t xml:space="preserve">E16 Lærdalstunnelen</t>
  </si>
  <si>
    <t xml:space="preserve">E6 Megården–Sommerset</t>
  </si>
  <si>
    <t xml:space="preserve">E39 Rogfast</t>
  </si>
  <si>
    <t xml:space="preserve">E134 Oslofjordforbindelsen, trinn 2</t>
  </si>
  <si>
    <t xml:space="preserve">Fellesprosjektet Vossebanen/E16 Arna–Stanghelle</t>
  </si>
  <si>
    <t xml:space="preserve">Nye Veier AS</t>
  </si>
  <si>
    <t xml:space="preserve">E18 Tvedestrand–Arendal</t>
  </si>
  <si>
    <t xml:space="preserve">Kostnadsramme = avtalt vederlag mellom selskapet og SD</t>
  </si>
  <si>
    <t xml:space="preserve">E6 Kolomoen–Moelv</t>
  </si>
  <si>
    <t xml:space="preserve">E6 Kvænangsfjellet</t>
  </si>
  <si>
    <t xml:space="preserve">E18 Langangen–Bamble</t>
  </si>
  <si>
    <t xml:space="preserve">Maksimalt bompengebidrag oppgitt</t>
  </si>
  <si>
    <t xml:space="preserve">E39 Kristiansand vest–Lyngdal vest</t>
  </si>
  <si>
    <t xml:space="preserve">E6 Moelv–Øyer</t>
  </si>
  <si>
    <t xml:space="preserve">E6 Nedgård (Ulsberg)–Melhus</t>
  </si>
  <si>
    <t xml:space="preserve">E6 Ranheim–Åsen</t>
  </si>
  <si>
    <t xml:space="preserve">Bane NOR SF</t>
  </si>
  <si>
    <t xml:space="preserve">Dobbeltspor Langset–Kleverud</t>
  </si>
  <si>
    <t xml:space="preserve">Beløp i mill. 2019-kroner</t>
  </si>
  <si>
    <t xml:space="preserve">Holm–Holmestrand–Nykirke</t>
  </si>
  <si>
    <t xml:space="preserve">Dobbeltspor Farriseidet–Porsgrunn</t>
  </si>
  <si>
    <t xml:space="preserve">Follobanen</t>
  </si>
  <si>
    <t xml:space="preserve">Venjar–Eidsvoll–Langset</t>
  </si>
  <si>
    <t xml:space="preserve">Arna–Fløen</t>
  </si>
  <si>
    <t xml:space="preserve">Fløen–Bergen/Nygårdstangen</t>
  </si>
  <si>
    <t xml:space="preserve">Delelektrifisering Trønder- og Meråkerbanen</t>
  </si>
  <si>
    <t xml:space="preserve">Drammen–Kobbervikdalen</t>
  </si>
  <si>
    <t xml:space="preserve">ERTMS</t>
  </si>
  <si>
    <t xml:space="preserve">Hele landet</t>
  </si>
  <si>
    <t xml:space="preserve">Kolbotn stasjon</t>
  </si>
  <si>
    <t xml:space="preserve">Kostnadsramme økt til ca. 1 600 mill. 2026-kr (jf. Innst. 75 S 2025–2026)</t>
  </si>
  <si>
    <t xml:space="preserve">Sandbukta–Moss–Såstad</t>
  </si>
  <si>
    <t xml:space="preserve">Kleverud–Sørli</t>
  </si>
  <si>
    <t xml:space="preserve">Sørli–Åkersvika</t>
  </si>
  <si>
    <t xml:space="preserve">Barkåker–Tønsberg</t>
  </si>
  <si>
    <t xml:space="preserve">Nykirke–Barkåker</t>
  </si>
  <si>
    <t xml:space="preserve">Avinor AS</t>
  </si>
  <si>
    <t xml:space="preserve">Ny lufthavn ved Mo i Rana</t>
  </si>
  <si>
    <t xml:space="preserve">Flytting av Bodø lufthavn</t>
  </si>
  <si>
    <t xml:space="preserve">merknad2</t>
  </si>
  <si>
    <t xml:space="preserve">landsdel</t>
  </si>
  <si>
    <t xml:space="preserve">Faktor 2019-2026</t>
  </si>
  <si>
    <t xml:space="preserve">MVA justering</t>
  </si>
  <si>
    <t xml:space="preserve">Geografisk korr</t>
  </si>
  <si>
    <t xml:space="preserve">stat</t>
  </si>
  <si>
    <t xml:space="preserve">Ligger I all hovedsak Vestlandet</t>
  </si>
  <si>
    <t xml:space="preserve">delt mellom Vestland og Østlandet</t>
  </si>
  <si>
    <t xml:space="preserve">Ligger I Telemark → østlandet</t>
  </si>
  <si>
    <t xml:space="preserve">Beløp i mill. 2019-kroner – må justeres til 2026 kroner ved byggekostnad</t>
  </si>
  <si>
    <t xml:space="preserve">Trolig uten MVA, må multipliseres</t>
  </si>
  <si>
    <t xml:space="preserve">BEFOLKNINGSANDEL 2025 (SSB 06912)</t>
  </si>
  <si>
    <t xml:space="preserve">Sum</t>
  </si>
  <si>
    <t xml:space="preserve">FERDIGE PROSJEKTER 2014–2025 (GILLESVIK REPROD.)</t>
  </si>
  <si>
    <t xml:space="preserve">Landsdel</t>
  </si>
  <si>
    <t xml:space="preserve">Antall</t>
  </si>
  <si>
    <t xml:space="preserve">Stat (mrd)</t>
  </si>
  <si>
    <t xml:space="preserve">Andel %</t>
  </si>
  <si>
    <t xml:space="preserve">Per innbygger (KNOK)</t>
  </si>
  <si>
    <t xml:space="preserve">GILLESVIK</t>
  </si>
  <si>
    <t xml:space="preserve">FERDIGE PROSJEKTER 2014–2025</t>
  </si>
  <si>
    <t xml:space="preserve">ALLE PROSJEKTER 2014–2026+</t>
  </si>
  <si>
    <t xml:space="preserve">UNDER BYGGING</t>
  </si>
  <si>
    <t xml:space="preserve">AREAL</t>
  </si>
  <si>
    <t xml:space="preserve">Per Areal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</si>
</sst>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#,##0.0"/>
    <numFmt numFmtId="168" formatCode="0.0%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A7074B"/>
      <name val="Arial"/>
      <family val="2"/>
      <charset val="1"/>
    </font>
    <font>
      <sz val="10"/>
      <color rgb="FF3465A4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3465A4"/>
      <name val="Arial"/>
      <family val="2"/>
      <charset val="1"/>
    </font>
    <font>
      <b val="true"/>
      <sz val="10"/>
      <color rgb="FF8D1D75"/>
      <name val="Arial"/>
      <family val="2"/>
      <charset val="1"/>
    </font>
    <font>
      <b val="true"/>
      <sz val="10"/>
      <color rgb="FF00A933"/>
      <name val="Arial"/>
      <family val="2"/>
      <charset val="1"/>
    </font>
    <font>
      <sz val="10"/>
      <color rgb="FFBE480A"/>
      <name val="Arial"/>
      <family val="2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Times New Roman"/>
      <family val="1"/>
      <charset val="1"/>
    </font>
    <font>
      <sz val="11"/>
      <color rgb="FFFF4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7074B"/>
      <rgbColor rgb="FF008080"/>
      <rgbColor rgb="FFC0C0C0"/>
      <rgbColor rgb="FF808080"/>
      <rgbColor rgb="FF9999FF"/>
      <rgbColor rgb="FF8D1D75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3465A4"/>
      <rgbColor rgb="FF969696"/>
      <rgbColor rgb="FF003366"/>
      <rgbColor rgb="FF00A933"/>
      <rgbColor rgb="FF003300"/>
      <rgbColor rgb="FF333300"/>
      <rgbColor rgb="FFBE480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9000</xdr:colOff>
      <xdr:row>19</xdr:row>
      <xdr:rowOff>63000</xdr:rowOff>
    </xdr:from>
    <xdr:to>
      <xdr:col>19</xdr:col>
      <xdr:colOff>244440</xdr:colOff>
      <xdr:row>43</xdr:row>
      <xdr:rowOff>83880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9442080" y="3304080"/>
          <a:ext cx="7550640" cy="4163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10</xdr:col>
      <xdr:colOff>235440</xdr:colOff>
      <xdr:row>27</xdr:row>
      <xdr:rowOff>99720</xdr:rowOff>
    </xdr:to>
    <xdr:pic>
      <xdr:nvPicPr>
        <xdr:cNvPr id="1" name="Image 2" descr=""/>
        <xdr:cNvPicPr/>
      </xdr:nvPicPr>
      <xdr:blipFill>
        <a:blip r:embed="rId1"/>
        <a:stretch/>
      </xdr:blipFill>
      <xdr:spPr>
        <a:xfrm>
          <a:off x="812880" y="325080"/>
          <a:ext cx="7550640" cy="4163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9.49"/>
    <col collapsed="false" customWidth="true" hidden="false" outlineLevel="0" max="2" min="2" style="1" width="13.12"/>
    <col collapsed="false" customWidth="true" hidden="false" outlineLevel="0" max="3" min="3" style="1" width="61.67"/>
    <col collapsed="false" customWidth="true" hidden="false" outlineLevel="0" max="4" min="4" style="1" width="19.38"/>
    <col collapsed="false" customWidth="true" hidden="false" outlineLevel="0" max="5" min="5" style="1" width="9.48"/>
    <col collapsed="false" customWidth="true" hidden="false" outlineLevel="0" max="6" min="6" style="1" width="11.45"/>
    <col collapsed="false" customWidth="true" hidden="false" outlineLevel="0" max="7" min="7" style="1" width="8.52"/>
    <col collapsed="false" customWidth="true" hidden="false" outlineLevel="0" max="8" min="8" style="1" width="16.58"/>
    <col collapsed="false" customWidth="true" hidden="false" outlineLevel="0" max="9" min="9" style="1" width="18.54"/>
    <col collapsed="false" customWidth="true" hidden="false" outlineLevel="0" max="10" min="10" style="1" width="63.3"/>
    <col collapsed="false" customWidth="true" hidden="false" outlineLevel="0" max="11" min="11" style="0" width="20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1" t="n">
        <v>1031</v>
      </c>
      <c r="E2" s="1" t="n">
        <v>2014</v>
      </c>
      <c r="F2" s="1" t="n">
        <v>1018</v>
      </c>
      <c r="G2" s="1" t="n">
        <v>1018</v>
      </c>
      <c r="I2" s="1" t="s">
        <v>14</v>
      </c>
      <c r="K2" s="2" t="n">
        <f aca="false">G2</f>
        <v>1018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15</v>
      </c>
      <c r="D3" s="1" t="n">
        <v>1807</v>
      </c>
      <c r="E3" s="1" t="n">
        <v>2014</v>
      </c>
      <c r="F3" s="1" t="n">
        <v>1574</v>
      </c>
      <c r="G3" s="1" t="n">
        <v>1574</v>
      </c>
      <c r="I3" s="1" t="s">
        <v>14</v>
      </c>
      <c r="K3" s="2" t="n">
        <f aca="false">G3</f>
        <v>1574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16</v>
      </c>
      <c r="D4" s="1" t="n">
        <v>1907</v>
      </c>
      <c r="E4" s="1" t="n">
        <v>2014</v>
      </c>
      <c r="F4" s="1" t="n">
        <v>2078</v>
      </c>
      <c r="G4" s="1" t="n">
        <v>1746</v>
      </c>
      <c r="H4" s="1" t="n">
        <v>333</v>
      </c>
      <c r="I4" s="1" t="s">
        <v>17</v>
      </c>
      <c r="K4" s="2" t="n">
        <f aca="false">G4</f>
        <v>1746</v>
      </c>
    </row>
    <row r="5" customFormat="false" ht="12.8" hidden="false" customHeight="false" outlineLevel="0" collapsed="false">
      <c r="A5" s="1" t="s">
        <v>11</v>
      </c>
      <c r="B5" s="1" t="s">
        <v>12</v>
      </c>
      <c r="C5" s="1" t="s">
        <v>18</v>
      </c>
      <c r="D5" s="1" t="n">
        <v>3213</v>
      </c>
      <c r="E5" s="1" t="n">
        <v>2014</v>
      </c>
      <c r="F5" s="1" t="n">
        <v>2736</v>
      </c>
      <c r="G5" s="1" t="n">
        <v>1296</v>
      </c>
      <c r="H5" s="1" t="n">
        <v>1440</v>
      </c>
      <c r="I5" s="1" t="s">
        <v>17</v>
      </c>
      <c r="K5" s="2" t="n">
        <f aca="false">G5</f>
        <v>1296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1" t="s">
        <v>19</v>
      </c>
      <c r="D6" s="1" t="n">
        <v>3539</v>
      </c>
      <c r="E6" s="1" t="n">
        <v>2014</v>
      </c>
      <c r="F6" s="1" t="n">
        <v>3893</v>
      </c>
      <c r="G6" s="1" t="n">
        <v>1635</v>
      </c>
      <c r="H6" s="1" t="n">
        <v>2258</v>
      </c>
      <c r="I6" s="1" t="s">
        <v>17</v>
      </c>
      <c r="K6" s="2" t="n">
        <f aca="false">G6</f>
        <v>1635</v>
      </c>
    </row>
    <row r="7" customFormat="false" ht="12.8" hidden="false" customHeight="false" outlineLevel="0" collapsed="false">
      <c r="A7" s="1" t="s">
        <v>11</v>
      </c>
      <c r="B7" s="1" t="s">
        <v>12</v>
      </c>
      <c r="C7" s="1" t="s">
        <v>20</v>
      </c>
      <c r="D7" s="1" t="n">
        <v>5221</v>
      </c>
      <c r="E7" s="1" t="n">
        <v>2014</v>
      </c>
      <c r="F7" s="1" t="n">
        <v>5172</v>
      </c>
      <c r="G7" s="1" t="n">
        <v>1545</v>
      </c>
      <c r="H7" s="1" t="n">
        <v>3627</v>
      </c>
      <c r="I7" s="1" t="s">
        <v>17</v>
      </c>
      <c r="K7" s="2" t="n">
        <f aca="false">G7</f>
        <v>1545</v>
      </c>
    </row>
    <row r="8" customFormat="false" ht="12.8" hidden="false" customHeight="false" outlineLevel="0" collapsed="false">
      <c r="A8" s="1" t="s">
        <v>11</v>
      </c>
      <c r="B8" s="1" t="s">
        <v>12</v>
      </c>
      <c r="C8" s="1" t="s">
        <v>21</v>
      </c>
      <c r="D8" s="1" t="n">
        <v>1681</v>
      </c>
      <c r="E8" s="1" t="n">
        <v>2014</v>
      </c>
      <c r="F8" s="1" t="n">
        <v>1167</v>
      </c>
      <c r="G8" s="1" t="n">
        <v>1167</v>
      </c>
      <c r="I8" s="1" t="s">
        <v>22</v>
      </c>
      <c r="K8" s="2" t="n">
        <f aca="false">G8</f>
        <v>1167</v>
      </c>
    </row>
    <row r="9" customFormat="false" ht="12.8" hidden="false" customHeight="false" outlineLevel="0" collapsed="false">
      <c r="A9" s="1" t="s">
        <v>11</v>
      </c>
      <c r="B9" s="1" t="s">
        <v>12</v>
      </c>
      <c r="C9" s="1" t="s">
        <v>23</v>
      </c>
      <c r="D9" s="1" t="n">
        <v>1106</v>
      </c>
      <c r="E9" s="1" t="n">
        <v>2014</v>
      </c>
      <c r="F9" s="1" t="n">
        <v>1347</v>
      </c>
      <c r="G9" s="1" t="n">
        <v>1347</v>
      </c>
      <c r="I9" s="1" t="s">
        <v>24</v>
      </c>
      <c r="K9" s="2" t="n">
        <f aca="false">G9</f>
        <v>1347</v>
      </c>
    </row>
    <row r="10" customFormat="false" ht="12.8" hidden="false" customHeight="false" outlineLevel="0" collapsed="false">
      <c r="A10" s="1" t="s">
        <v>11</v>
      </c>
      <c r="B10" s="1" t="s">
        <v>12</v>
      </c>
      <c r="C10" s="1" t="s">
        <v>25</v>
      </c>
      <c r="D10" s="1" t="n">
        <v>10408</v>
      </c>
      <c r="E10" s="1" t="n">
        <v>2015</v>
      </c>
      <c r="F10" s="1" t="n">
        <v>11609</v>
      </c>
      <c r="G10" s="1" t="n">
        <v>4556</v>
      </c>
      <c r="H10" s="1" t="n">
        <v>7053</v>
      </c>
      <c r="I10" s="1" t="s">
        <v>17</v>
      </c>
      <c r="K10" s="2" t="n">
        <f aca="false">G10</f>
        <v>4556</v>
      </c>
    </row>
    <row r="11" customFormat="false" ht="12.8" hidden="false" customHeight="false" outlineLevel="0" collapsed="false">
      <c r="A11" s="1" t="s">
        <v>11</v>
      </c>
      <c r="B11" s="1" t="s">
        <v>12</v>
      </c>
      <c r="C11" s="1" t="s">
        <v>26</v>
      </c>
      <c r="D11" s="1" t="n">
        <v>9785</v>
      </c>
      <c r="E11" s="1" t="n">
        <v>2015</v>
      </c>
      <c r="F11" s="1" t="n">
        <v>10051</v>
      </c>
      <c r="G11" s="1" t="n">
        <v>2779</v>
      </c>
      <c r="H11" s="1" t="n">
        <v>7272</v>
      </c>
      <c r="I11" s="1" t="s">
        <v>17</v>
      </c>
      <c r="K11" s="2" t="n">
        <f aca="false">G11</f>
        <v>2779</v>
      </c>
    </row>
    <row r="12" customFormat="false" ht="12.8" hidden="false" customHeight="false" outlineLevel="0" collapsed="false">
      <c r="A12" s="1" t="s">
        <v>11</v>
      </c>
      <c r="B12" s="1" t="s">
        <v>12</v>
      </c>
      <c r="C12" s="1" t="s">
        <v>27</v>
      </c>
      <c r="D12" s="1" t="n">
        <v>1047</v>
      </c>
      <c r="E12" s="1" t="n">
        <v>2015</v>
      </c>
      <c r="F12" s="1" t="n">
        <v>1064</v>
      </c>
      <c r="G12" s="1" t="n">
        <v>250</v>
      </c>
      <c r="H12" s="1" t="n">
        <v>814</v>
      </c>
      <c r="I12" s="1" t="s">
        <v>17</v>
      </c>
      <c r="K12" s="2" t="n">
        <f aca="false">G12</f>
        <v>250</v>
      </c>
    </row>
    <row r="13" customFormat="false" ht="12.8" hidden="false" customHeight="false" outlineLevel="0" collapsed="false">
      <c r="A13" s="1" t="s">
        <v>11</v>
      </c>
      <c r="B13" s="1" t="s">
        <v>12</v>
      </c>
      <c r="C13" s="1" t="s">
        <v>28</v>
      </c>
      <c r="D13" s="1" t="n">
        <v>2531</v>
      </c>
      <c r="E13" s="1" t="n">
        <v>2015</v>
      </c>
      <c r="F13" s="1" t="n">
        <v>2731</v>
      </c>
      <c r="G13" s="1" t="n">
        <v>1393</v>
      </c>
      <c r="H13" s="1" t="n">
        <v>1338</v>
      </c>
      <c r="I13" s="1" t="s">
        <v>14</v>
      </c>
      <c r="K13" s="2" t="n">
        <f aca="false">G13</f>
        <v>1393</v>
      </c>
    </row>
    <row r="14" customFormat="false" ht="12.8" hidden="false" customHeight="false" outlineLevel="0" collapsed="false">
      <c r="A14" s="1" t="s">
        <v>11</v>
      </c>
      <c r="B14" s="1" t="s">
        <v>12</v>
      </c>
      <c r="C14" s="1" t="s">
        <v>29</v>
      </c>
      <c r="D14" s="1" t="n">
        <v>1622</v>
      </c>
      <c r="E14" s="1" t="n">
        <v>2016</v>
      </c>
      <c r="F14" s="1" t="n">
        <v>1380</v>
      </c>
      <c r="G14" s="1" t="n">
        <v>1380</v>
      </c>
      <c r="I14" s="1" t="s">
        <v>24</v>
      </c>
      <c r="K14" s="2" t="n">
        <f aca="false">G14</f>
        <v>1380</v>
      </c>
    </row>
    <row r="15" customFormat="false" ht="12.8" hidden="false" customHeight="false" outlineLevel="0" collapsed="false">
      <c r="A15" s="1" t="s">
        <v>11</v>
      </c>
      <c r="B15" s="1" t="s">
        <v>12</v>
      </c>
      <c r="C15" s="1" t="s">
        <v>30</v>
      </c>
      <c r="D15" s="1" t="n">
        <v>2391</v>
      </c>
      <c r="E15" s="1" t="n">
        <v>2016</v>
      </c>
      <c r="F15" s="1" t="n">
        <v>2460</v>
      </c>
      <c r="G15" s="1" t="n">
        <v>1308</v>
      </c>
      <c r="H15" s="1" t="n">
        <v>1152</v>
      </c>
      <c r="I15" s="1" t="s">
        <v>17</v>
      </c>
      <c r="K15" s="2" t="n">
        <f aca="false">G15</f>
        <v>1308</v>
      </c>
    </row>
    <row r="16" customFormat="false" ht="12.8" hidden="false" customHeight="false" outlineLevel="0" collapsed="false">
      <c r="A16" s="1" t="s">
        <v>11</v>
      </c>
      <c r="B16" s="1" t="s">
        <v>12</v>
      </c>
      <c r="C16" s="1" t="s">
        <v>31</v>
      </c>
      <c r="D16" s="1" t="n">
        <v>8216</v>
      </c>
      <c r="E16" s="1" t="n">
        <v>2016</v>
      </c>
      <c r="F16" s="1" t="n">
        <v>10043</v>
      </c>
      <c r="G16" s="1" t="n">
        <v>5737</v>
      </c>
      <c r="H16" s="1" t="n">
        <v>4306</v>
      </c>
      <c r="I16" s="1" t="s">
        <v>17</v>
      </c>
      <c r="K16" s="2" t="n">
        <f aca="false">G16</f>
        <v>5737</v>
      </c>
    </row>
    <row r="17" customFormat="false" ht="12.8" hidden="false" customHeight="false" outlineLevel="0" collapsed="false">
      <c r="A17" s="1" t="s">
        <v>11</v>
      </c>
      <c r="B17" s="1" t="s">
        <v>12</v>
      </c>
      <c r="C17" s="1" t="s">
        <v>32</v>
      </c>
      <c r="D17" s="1" t="n">
        <v>3531</v>
      </c>
      <c r="E17" s="1" t="n">
        <v>2017</v>
      </c>
      <c r="F17" s="1" t="n">
        <v>4558</v>
      </c>
      <c r="G17" s="1" t="n">
        <v>2287</v>
      </c>
      <c r="H17" s="1" t="n">
        <v>2271</v>
      </c>
      <c r="I17" s="1" t="s">
        <v>17</v>
      </c>
      <c r="K17" s="2" t="n">
        <f aca="false">G17</f>
        <v>2287</v>
      </c>
    </row>
    <row r="18" customFormat="false" ht="12.8" hidden="false" customHeight="false" outlineLevel="0" collapsed="false">
      <c r="A18" s="1" t="s">
        <v>11</v>
      </c>
      <c r="B18" s="1" t="s">
        <v>12</v>
      </c>
      <c r="C18" s="1" t="s">
        <v>33</v>
      </c>
      <c r="D18" s="1" t="n">
        <v>1289</v>
      </c>
      <c r="E18" s="1" t="n">
        <v>2017</v>
      </c>
      <c r="F18" s="1" t="n">
        <v>1468</v>
      </c>
      <c r="G18" s="1" t="n">
        <v>847</v>
      </c>
      <c r="H18" s="1" t="n">
        <v>621</v>
      </c>
      <c r="I18" s="1" t="s">
        <v>17</v>
      </c>
      <c r="K18" s="2" t="n">
        <f aca="false">G18</f>
        <v>847</v>
      </c>
    </row>
    <row r="19" customFormat="false" ht="12.8" hidden="false" customHeight="false" outlineLevel="0" collapsed="false">
      <c r="A19" s="1" t="s">
        <v>11</v>
      </c>
      <c r="B19" s="1" t="s">
        <v>12</v>
      </c>
      <c r="C19" s="1" t="s">
        <v>34</v>
      </c>
      <c r="D19" s="1" t="n">
        <v>-898</v>
      </c>
      <c r="E19" s="1" t="n">
        <v>2017</v>
      </c>
      <c r="F19" s="1" t="n">
        <v>1145</v>
      </c>
      <c r="G19" s="1" t="n">
        <v>450</v>
      </c>
      <c r="H19" s="1" t="n">
        <v>694</v>
      </c>
      <c r="I19" s="1" t="s">
        <v>14</v>
      </c>
      <c r="J19" s="1" t="s">
        <v>35</v>
      </c>
      <c r="K19" s="2" t="n">
        <f aca="false">G19</f>
        <v>450</v>
      </c>
    </row>
    <row r="20" customFormat="false" ht="12.8" hidden="false" customHeight="false" outlineLevel="0" collapsed="false">
      <c r="A20" s="1" t="s">
        <v>11</v>
      </c>
      <c r="B20" s="1" t="s">
        <v>12</v>
      </c>
      <c r="C20" s="1" t="s">
        <v>36</v>
      </c>
      <c r="D20" s="1" t="n">
        <v>2779</v>
      </c>
      <c r="E20" s="1" t="n">
        <v>2017</v>
      </c>
      <c r="F20" s="1" t="n">
        <v>2220</v>
      </c>
      <c r="G20" s="1" t="n">
        <v>2220</v>
      </c>
      <c r="I20" s="1" t="s">
        <v>17</v>
      </c>
      <c r="K20" s="2" t="n">
        <f aca="false">G20</f>
        <v>2220</v>
      </c>
    </row>
    <row r="21" customFormat="false" ht="12.8" hidden="false" customHeight="false" outlineLevel="0" collapsed="false">
      <c r="A21" s="1" t="s">
        <v>11</v>
      </c>
      <c r="B21" s="1" t="s">
        <v>12</v>
      </c>
      <c r="C21" s="1" t="s">
        <v>37</v>
      </c>
      <c r="D21" s="1" t="n">
        <v>1924</v>
      </c>
      <c r="E21" s="1" t="n">
        <v>2017</v>
      </c>
      <c r="F21" s="1" t="n">
        <v>1609</v>
      </c>
      <c r="G21" s="1" t="n">
        <v>1609</v>
      </c>
      <c r="I21" s="1" t="s">
        <v>24</v>
      </c>
      <c r="K21" s="2" t="n">
        <f aca="false">G21</f>
        <v>1609</v>
      </c>
    </row>
    <row r="22" customFormat="false" ht="12.8" hidden="false" customHeight="false" outlineLevel="0" collapsed="false">
      <c r="A22" s="1" t="s">
        <v>11</v>
      </c>
      <c r="B22" s="1" t="s">
        <v>12</v>
      </c>
      <c r="C22" s="1" t="s">
        <v>38</v>
      </c>
      <c r="D22" s="1" t="n">
        <v>1099</v>
      </c>
      <c r="E22" s="1" t="n">
        <v>2017</v>
      </c>
      <c r="F22" s="1" t="n">
        <v>1099</v>
      </c>
      <c r="G22" s="1" t="n">
        <v>1099</v>
      </c>
      <c r="H22" s="1" t="n">
        <v>0</v>
      </c>
      <c r="I22" s="1" t="s">
        <v>24</v>
      </c>
      <c r="K22" s="2" t="n">
        <f aca="false">G22</f>
        <v>1099</v>
      </c>
    </row>
    <row r="23" customFormat="false" ht="12.8" hidden="false" customHeight="false" outlineLevel="0" collapsed="false">
      <c r="A23" s="1" t="s">
        <v>11</v>
      </c>
      <c r="B23" s="1" t="s">
        <v>12</v>
      </c>
      <c r="C23" s="1" t="s">
        <v>39</v>
      </c>
      <c r="D23" s="1" t="n">
        <v>1538</v>
      </c>
      <c r="E23" s="1" t="n">
        <v>2018</v>
      </c>
      <c r="F23" s="1" t="n">
        <v>1430</v>
      </c>
      <c r="G23" s="1" t="n">
        <v>1430</v>
      </c>
      <c r="H23" s="1" t="n">
        <v>0</v>
      </c>
      <c r="I23" s="1" t="s">
        <v>24</v>
      </c>
      <c r="K23" s="2" t="n">
        <f aca="false">G23</f>
        <v>1430</v>
      </c>
    </row>
    <row r="24" customFormat="false" ht="12.8" hidden="false" customHeight="false" outlineLevel="0" collapsed="false">
      <c r="A24" s="1" t="s">
        <v>11</v>
      </c>
      <c r="B24" s="1" t="s">
        <v>12</v>
      </c>
      <c r="C24" s="1" t="s">
        <v>40</v>
      </c>
      <c r="D24" s="1" t="n">
        <v>5349</v>
      </c>
      <c r="E24" s="1" t="n">
        <v>2018</v>
      </c>
      <c r="F24" s="1" t="n">
        <v>5874</v>
      </c>
      <c r="G24" s="1" t="n">
        <v>4226</v>
      </c>
      <c r="H24" s="1" t="n">
        <v>1648</v>
      </c>
      <c r="I24" s="1" t="s">
        <v>24</v>
      </c>
      <c r="K24" s="2" t="n">
        <f aca="false">G24</f>
        <v>4226</v>
      </c>
    </row>
    <row r="25" customFormat="false" ht="12.8" hidden="false" customHeight="false" outlineLevel="0" collapsed="false">
      <c r="A25" s="1" t="s">
        <v>11</v>
      </c>
      <c r="B25" s="1" t="s">
        <v>12</v>
      </c>
      <c r="C25" s="1" t="s">
        <v>41</v>
      </c>
      <c r="D25" s="1" t="n">
        <v>7774</v>
      </c>
      <c r="E25" s="1" t="n">
        <v>2018</v>
      </c>
      <c r="F25" s="1" t="n">
        <v>7044</v>
      </c>
      <c r="G25" s="1" t="n">
        <v>1795</v>
      </c>
      <c r="H25" s="1" t="n">
        <v>5248</v>
      </c>
      <c r="I25" s="1" t="s">
        <v>17</v>
      </c>
      <c r="K25" s="2" t="n">
        <f aca="false">G25</f>
        <v>1795</v>
      </c>
    </row>
    <row r="26" customFormat="false" ht="12.8" hidden="false" customHeight="false" outlineLevel="0" collapsed="false">
      <c r="A26" s="1" t="s">
        <v>11</v>
      </c>
      <c r="B26" s="1" t="s">
        <v>12</v>
      </c>
      <c r="C26" s="1" t="s">
        <v>42</v>
      </c>
      <c r="D26" s="1" t="n">
        <v>943</v>
      </c>
      <c r="E26" s="1" t="n">
        <v>2018</v>
      </c>
      <c r="F26" s="1" t="n">
        <v>1034</v>
      </c>
      <c r="G26" s="1" t="n">
        <v>1034</v>
      </c>
      <c r="I26" s="1" t="s">
        <v>17</v>
      </c>
      <c r="K26" s="2" t="n">
        <f aca="false">G26</f>
        <v>1034</v>
      </c>
    </row>
    <row r="27" customFormat="false" ht="12.8" hidden="false" customHeight="false" outlineLevel="0" collapsed="false">
      <c r="A27" s="1" t="s">
        <v>11</v>
      </c>
      <c r="B27" s="1" t="s">
        <v>12</v>
      </c>
      <c r="C27" s="1" t="s">
        <v>43</v>
      </c>
      <c r="D27" s="1" t="n">
        <v>1182</v>
      </c>
      <c r="E27" s="1" t="n">
        <v>2019</v>
      </c>
      <c r="F27" s="1" t="n">
        <v>1476</v>
      </c>
      <c r="G27" s="1" t="n">
        <v>915</v>
      </c>
      <c r="H27" s="1" t="n">
        <v>561</v>
      </c>
      <c r="I27" s="1" t="s">
        <v>17</v>
      </c>
      <c r="K27" s="2" t="n">
        <f aca="false">G27</f>
        <v>915</v>
      </c>
    </row>
    <row r="28" customFormat="false" ht="12.8" hidden="false" customHeight="false" outlineLevel="0" collapsed="false">
      <c r="A28" s="1" t="s">
        <v>11</v>
      </c>
      <c r="B28" s="1" t="s">
        <v>12</v>
      </c>
      <c r="C28" s="1" t="s">
        <v>44</v>
      </c>
      <c r="D28" s="1" t="n">
        <v>3578</v>
      </c>
      <c r="E28" s="1" t="n">
        <v>2019</v>
      </c>
      <c r="F28" s="1" t="n">
        <v>3310</v>
      </c>
      <c r="G28" s="1" t="n">
        <v>3310</v>
      </c>
      <c r="I28" s="1" t="s">
        <v>17</v>
      </c>
      <c r="K28" s="2" t="n">
        <f aca="false">G28</f>
        <v>3310</v>
      </c>
    </row>
    <row r="29" customFormat="false" ht="12.8" hidden="false" customHeight="false" outlineLevel="0" collapsed="false">
      <c r="A29" s="1" t="s">
        <v>11</v>
      </c>
      <c r="B29" s="1" t="s">
        <v>12</v>
      </c>
      <c r="C29" s="1" t="s">
        <v>45</v>
      </c>
      <c r="D29" s="1" t="n">
        <v>2892</v>
      </c>
      <c r="E29" s="1" t="n">
        <v>2019</v>
      </c>
      <c r="F29" s="1" t="n">
        <v>3293</v>
      </c>
      <c r="G29" s="1" t="n">
        <v>2684</v>
      </c>
      <c r="H29" s="1" t="n">
        <v>608</v>
      </c>
      <c r="I29" s="1" t="s">
        <v>24</v>
      </c>
      <c r="K29" s="2" t="n">
        <f aca="false">G29</f>
        <v>2684</v>
      </c>
    </row>
    <row r="30" customFormat="false" ht="12.8" hidden="false" customHeight="false" outlineLevel="0" collapsed="false">
      <c r="A30" s="1" t="s">
        <v>11</v>
      </c>
      <c r="B30" s="1" t="s">
        <v>12</v>
      </c>
      <c r="C30" s="1" t="s">
        <v>46</v>
      </c>
      <c r="D30" s="1" t="n">
        <v>4332</v>
      </c>
      <c r="E30" s="1" t="n">
        <v>2019</v>
      </c>
      <c r="F30" s="1" t="n">
        <v>3839</v>
      </c>
      <c r="G30" s="1" t="n">
        <v>1427</v>
      </c>
      <c r="H30" s="1" t="n">
        <v>2412</v>
      </c>
      <c r="I30" s="1" t="s">
        <v>47</v>
      </c>
      <c r="K30" s="2" t="n">
        <f aca="false">G30</f>
        <v>1427</v>
      </c>
    </row>
    <row r="31" customFormat="false" ht="12.8" hidden="false" customHeight="false" outlineLevel="0" collapsed="false">
      <c r="A31" s="1" t="s">
        <v>11</v>
      </c>
      <c r="B31" s="1" t="s">
        <v>12</v>
      </c>
      <c r="C31" s="1" t="s">
        <v>48</v>
      </c>
      <c r="D31" s="1" t="n">
        <v>3802</v>
      </c>
      <c r="E31" s="1" t="n">
        <v>2019</v>
      </c>
      <c r="F31" s="1" t="n">
        <v>3577</v>
      </c>
      <c r="G31" s="1" t="n">
        <v>923</v>
      </c>
      <c r="H31" s="1" t="n">
        <v>2654</v>
      </c>
      <c r="I31" s="1" t="s">
        <v>24</v>
      </c>
      <c r="K31" s="2" t="n">
        <f aca="false">G31</f>
        <v>923</v>
      </c>
    </row>
    <row r="32" customFormat="false" ht="12.8" hidden="false" customHeight="false" outlineLevel="0" collapsed="false">
      <c r="A32" s="1" t="s">
        <v>11</v>
      </c>
      <c r="B32" s="1" t="s">
        <v>12</v>
      </c>
      <c r="C32" s="1" t="s">
        <v>49</v>
      </c>
      <c r="D32" s="1" t="n">
        <v>1263</v>
      </c>
      <c r="E32" s="1" t="n">
        <v>2019</v>
      </c>
      <c r="F32" s="1" t="n">
        <v>1053</v>
      </c>
      <c r="G32" s="1" t="n">
        <v>1053</v>
      </c>
      <c r="I32" s="1" t="s">
        <v>14</v>
      </c>
      <c r="K32" s="2" t="n">
        <f aca="false">G32</f>
        <v>1053</v>
      </c>
    </row>
    <row r="33" customFormat="false" ht="12.8" hidden="false" customHeight="false" outlineLevel="0" collapsed="false">
      <c r="A33" s="1" t="s">
        <v>11</v>
      </c>
      <c r="B33" s="1" t="s">
        <v>12</v>
      </c>
      <c r="C33" s="1" t="s">
        <v>50</v>
      </c>
      <c r="D33" s="1" t="n">
        <v>1272</v>
      </c>
      <c r="E33" s="1" t="n">
        <v>2019</v>
      </c>
      <c r="F33" s="1" t="n">
        <v>1167</v>
      </c>
      <c r="G33" s="1" t="n">
        <v>1167</v>
      </c>
      <c r="I33" s="1" t="s">
        <v>24</v>
      </c>
      <c r="K33" s="2" t="n">
        <f aca="false">G33</f>
        <v>1167</v>
      </c>
    </row>
    <row r="34" customFormat="false" ht="12.8" hidden="false" customHeight="false" outlineLevel="0" collapsed="false">
      <c r="A34" s="1" t="s">
        <v>11</v>
      </c>
      <c r="B34" s="1" t="s">
        <v>12</v>
      </c>
      <c r="C34" s="1" t="s">
        <v>51</v>
      </c>
      <c r="D34" s="1" t="n">
        <v>991</v>
      </c>
      <c r="E34" s="1" t="n">
        <v>2019</v>
      </c>
      <c r="F34" s="1" t="n">
        <v>1085</v>
      </c>
      <c r="G34" s="1" t="n">
        <v>1085</v>
      </c>
      <c r="I34" s="1" t="s">
        <v>17</v>
      </c>
      <c r="K34" s="2" t="n">
        <f aca="false">G34</f>
        <v>1085</v>
      </c>
    </row>
    <row r="35" customFormat="false" ht="12.8" hidden="false" customHeight="false" outlineLevel="0" collapsed="false">
      <c r="A35" s="1" t="s">
        <v>11</v>
      </c>
      <c r="B35" s="1" t="s">
        <v>12</v>
      </c>
      <c r="C35" s="1" t="s">
        <v>52</v>
      </c>
      <c r="D35" s="1" t="n">
        <v>2467</v>
      </c>
      <c r="E35" s="1" t="n">
        <v>2019</v>
      </c>
      <c r="F35" s="1" t="n">
        <v>2080</v>
      </c>
      <c r="G35" s="1" t="n">
        <v>1310</v>
      </c>
      <c r="H35" s="1" t="n">
        <v>770</v>
      </c>
      <c r="I35" s="1" t="s">
        <v>17</v>
      </c>
      <c r="K35" s="2" t="n">
        <f aca="false">G35</f>
        <v>1310</v>
      </c>
    </row>
    <row r="36" customFormat="false" ht="12.8" hidden="false" customHeight="false" outlineLevel="0" collapsed="false">
      <c r="A36" s="1" t="s">
        <v>11</v>
      </c>
      <c r="B36" s="1" t="s">
        <v>12</v>
      </c>
      <c r="C36" s="1" t="s">
        <v>53</v>
      </c>
      <c r="D36" s="1" t="n">
        <v>6680</v>
      </c>
      <c r="E36" s="1" t="n">
        <v>2019</v>
      </c>
      <c r="F36" s="1" t="n">
        <v>5468</v>
      </c>
      <c r="G36" s="1" t="n">
        <v>1356</v>
      </c>
      <c r="H36" s="1" t="n">
        <v>4111</v>
      </c>
      <c r="I36" s="1" t="s">
        <v>17</v>
      </c>
      <c r="K36" s="2" t="n">
        <f aca="false">G36</f>
        <v>1356</v>
      </c>
    </row>
    <row r="37" customFormat="false" ht="12.8" hidden="false" customHeight="false" outlineLevel="0" collapsed="false">
      <c r="A37" s="1" t="s">
        <v>11</v>
      </c>
      <c r="B37" s="1" t="s">
        <v>12</v>
      </c>
      <c r="C37" s="1" t="s">
        <v>54</v>
      </c>
      <c r="D37" s="1" t="n">
        <v>1142</v>
      </c>
      <c r="E37" s="1" t="n">
        <v>2020</v>
      </c>
      <c r="F37" s="1" t="n">
        <v>1181</v>
      </c>
      <c r="G37" s="1" t="n">
        <v>1181</v>
      </c>
      <c r="I37" s="1" t="s">
        <v>17</v>
      </c>
      <c r="K37" s="2" t="n">
        <f aca="false">G37</f>
        <v>1181</v>
      </c>
    </row>
    <row r="38" customFormat="false" ht="12.8" hidden="false" customHeight="false" outlineLevel="0" collapsed="false">
      <c r="A38" s="1" t="s">
        <v>11</v>
      </c>
      <c r="B38" s="1" t="s">
        <v>12</v>
      </c>
      <c r="C38" s="1" t="s">
        <v>55</v>
      </c>
      <c r="D38" s="1" t="n">
        <v>11342</v>
      </c>
      <c r="E38" s="1" t="n">
        <v>2020</v>
      </c>
      <c r="F38" s="1" t="n">
        <v>11709</v>
      </c>
      <c r="G38" s="1" t="n">
        <v>2653</v>
      </c>
      <c r="H38" s="1" t="n">
        <v>9056</v>
      </c>
      <c r="I38" s="1" t="s">
        <v>14</v>
      </c>
      <c r="K38" s="2" t="n">
        <f aca="false">G38</f>
        <v>2653</v>
      </c>
    </row>
    <row r="39" customFormat="false" ht="12.8" hidden="false" customHeight="false" outlineLevel="0" collapsed="false">
      <c r="A39" s="1" t="s">
        <v>11</v>
      </c>
      <c r="B39" s="1" t="s">
        <v>12</v>
      </c>
      <c r="C39" s="1" t="s">
        <v>56</v>
      </c>
      <c r="D39" s="1" t="n">
        <v>7457</v>
      </c>
      <c r="E39" s="1" t="n">
        <v>2020</v>
      </c>
      <c r="F39" s="1" t="n">
        <v>6674</v>
      </c>
      <c r="G39" s="1" t="n">
        <v>2870</v>
      </c>
      <c r="H39" s="1" t="n">
        <v>3803</v>
      </c>
      <c r="I39" s="1" t="s">
        <v>17</v>
      </c>
      <c r="K39" s="2" t="n">
        <f aca="false">G39</f>
        <v>2870</v>
      </c>
    </row>
    <row r="40" customFormat="false" ht="12.8" hidden="false" customHeight="false" outlineLevel="0" collapsed="false">
      <c r="A40" s="1" t="s">
        <v>11</v>
      </c>
      <c r="B40" s="1" t="s">
        <v>12</v>
      </c>
      <c r="C40" s="1" t="s">
        <v>57</v>
      </c>
      <c r="D40" s="1" t="n">
        <v>2728</v>
      </c>
      <c r="E40" s="1" t="n">
        <v>2020</v>
      </c>
      <c r="F40" s="1" t="n">
        <v>2244</v>
      </c>
      <c r="G40" s="1" t="n">
        <v>1225</v>
      </c>
      <c r="H40" s="1" t="n">
        <v>1019</v>
      </c>
      <c r="I40" s="1" t="s">
        <v>47</v>
      </c>
      <c r="K40" s="2" t="n">
        <f aca="false">G40</f>
        <v>1225</v>
      </c>
    </row>
    <row r="41" customFormat="false" ht="12.8" hidden="false" customHeight="false" outlineLevel="0" collapsed="false">
      <c r="A41" s="1" t="s">
        <v>11</v>
      </c>
      <c r="B41" s="1" t="s">
        <v>12</v>
      </c>
      <c r="C41" s="1" t="s">
        <v>58</v>
      </c>
      <c r="D41" s="1" t="n">
        <v>3695</v>
      </c>
      <c r="E41" s="1" t="n">
        <v>2020</v>
      </c>
      <c r="F41" s="1" t="n">
        <v>5553</v>
      </c>
      <c r="G41" s="1" t="n">
        <v>3917</v>
      </c>
      <c r="H41" s="1" t="n">
        <v>1636</v>
      </c>
      <c r="I41" s="1" t="s">
        <v>14</v>
      </c>
      <c r="K41" s="2" t="n">
        <f aca="false">G41</f>
        <v>3917</v>
      </c>
    </row>
    <row r="42" customFormat="false" ht="12.8" hidden="false" customHeight="false" outlineLevel="0" collapsed="false">
      <c r="A42" s="1" t="s">
        <v>11</v>
      </c>
      <c r="B42" s="1" t="s">
        <v>12</v>
      </c>
      <c r="C42" s="1" t="s">
        <v>59</v>
      </c>
      <c r="D42" s="1" t="n">
        <v>1559</v>
      </c>
      <c r="E42" s="1" t="n">
        <v>2021</v>
      </c>
      <c r="F42" s="1" t="n">
        <v>1419</v>
      </c>
      <c r="G42" s="1" t="n">
        <v>1419</v>
      </c>
      <c r="I42" s="1" t="s">
        <v>60</v>
      </c>
      <c r="K42" s="2" t="n">
        <f aca="false">G42</f>
        <v>1419</v>
      </c>
    </row>
    <row r="43" customFormat="false" ht="12.8" hidden="false" customHeight="false" outlineLevel="0" collapsed="false">
      <c r="A43" s="1" t="s">
        <v>11</v>
      </c>
      <c r="B43" s="1" t="s">
        <v>12</v>
      </c>
      <c r="C43" s="1" t="s">
        <v>61</v>
      </c>
      <c r="D43" s="1" t="n">
        <v>1302</v>
      </c>
      <c r="E43" s="1" t="n">
        <v>2022</v>
      </c>
      <c r="F43" s="1" t="n">
        <v>1777</v>
      </c>
      <c r="G43" s="1" t="n">
        <v>1777</v>
      </c>
      <c r="I43" s="1" t="s">
        <v>24</v>
      </c>
      <c r="K43" s="2" t="n">
        <f aca="false">G43</f>
        <v>1777</v>
      </c>
    </row>
    <row r="44" customFormat="false" ht="12.8" hidden="false" customHeight="false" outlineLevel="0" collapsed="false">
      <c r="A44" s="1" t="s">
        <v>11</v>
      </c>
      <c r="B44" s="1" t="s">
        <v>12</v>
      </c>
      <c r="C44" s="1" t="s">
        <v>62</v>
      </c>
      <c r="D44" s="1" t="n">
        <v>11185</v>
      </c>
      <c r="E44" s="1" t="n">
        <v>2022</v>
      </c>
      <c r="F44" s="1" t="n">
        <v>12177</v>
      </c>
      <c r="G44" s="1" t="n">
        <v>7772</v>
      </c>
      <c r="H44" s="1" t="n">
        <v>4405</v>
      </c>
      <c r="I44" s="1" t="s">
        <v>14</v>
      </c>
      <c r="K44" s="2" t="n">
        <f aca="false">G44</f>
        <v>7772</v>
      </c>
    </row>
    <row r="45" customFormat="false" ht="12.8" hidden="false" customHeight="false" outlineLevel="0" collapsed="false">
      <c r="A45" s="1" t="s">
        <v>11</v>
      </c>
      <c r="B45" s="1" t="s">
        <v>12</v>
      </c>
      <c r="C45" s="1" t="s">
        <v>63</v>
      </c>
      <c r="D45" s="1" t="n">
        <v>4363</v>
      </c>
      <c r="E45" s="1" t="n">
        <v>2022</v>
      </c>
      <c r="F45" s="1" t="n">
        <v>3822</v>
      </c>
      <c r="G45" s="1" t="n">
        <v>1618</v>
      </c>
      <c r="H45" s="1" t="n">
        <v>2204</v>
      </c>
      <c r="I45" s="1" t="s">
        <v>17</v>
      </c>
      <c r="K45" s="2" t="n">
        <f aca="false">G45</f>
        <v>1618</v>
      </c>
    </row>
    <row r="46" customFormat="false" ht="12.8" hidden="false" customHeight="false" outlineLevel="0" collapsed="false">
      <c r="A46" s="1" t="s">
        <v>11</v>
      </c>
      <c r="B46" s="1" t="s">
        <v>12</v>
      </c>
      <c r="C46" s="1" t="s">
        <v>64</v>
      </c>
      <c r="D46" s="1" t="n">
        <v>1280</v>
      </c>
      <c r="E46" s="1" t="n">
        <v>2022</v>
      </c>
      <c r="F46" s="1" t="n">
        <v>1052</v>
      </c>
      <c r="G46" s="1" t="n">
        <v>1052</v>
      </c>
      <c r="I46" s="1" t="s">
        <v>24</v>
      </c>
      <c r="K46" s="2" t="n">
        <f aca="false">G46</f>
        <v>1052</v>
      </c>
    </row>
    <row r="47" customFormat="false" ht="12.8" hidden="false" customHeight="false" outlineLevel="0" collapsed="false">
      <c r="A47" s="1" t="s">
        <v>11</v>
      </c>
      <c r="B47" s="1" t="s">
        <v>12</v>
      </c>
      <c r="C47" s="1" t="s">
        <v>65</v>
      </c>
      <c r="E47" s="1" t="n">
        <v>2022</v>
      </c>
      <c r="F47" s="1" t="n">
        <v>7689</v>
      </c>
      <c r="G47" s="1" t="n">
        <v>2637</v>
      </c>
      <c r="H47" s="1" t="n">
        <v>5052</v>
      </c>
      <c r="I47" s="1" t="s">
        <v>17</v>
      </c>
      <c r="J47" s="1" t="s">
        <v>66</v>
      </c>
      <c r="K47" s="2" t="n">
        <f aca="false">G47</f>
        <v>2637</v>
      </c>
    </row>
    <row r="48" customFormat="false" ht="12.8" hidden="false" customHeight="false" outlineLevel="0" collapsed="false">
      <c r="A48" s="1" t="s">
        <v>11</v>
      </c>
      <c r="B48" s="1" t="s">
        <v>12</v>
      </c>
      <c r="C48" s="1" t="s">
        <v>67</v>
      </c>
      <c r="D48" s="1" t="n">
        <v>1844</v>
      </c>
      <c r="E48" s="1" t="n">
        <v>2022</v>
      </c>
      <c r="F48" s="1" t="n">
        <v>1307</v>
      </c>
      <c r="G48" s="1" t="n">
        <v>1307</v>
      </c>
      <c r="I48" s="1" t="s">
        <v>14</v>
      </c>
      <c r="K48" s="2" t="n">
        <f aca="false">G48</f>
        <v>1307</v>
      </c>
    </row>
    <row r="49" customFormat="false" ht="12.8" hidden="false" customHeight="false" outlineLevel="0" collapsed="false">
      <c r="A49" s="1" t="s">
        <v>11</v>
      </c>
      <c r="B49" s="1" t="s">
        <v>12</v>
      </c>
      <c r="C49" s="1" t="s">
        <v>68</v>
      </c>
      <c r="D49" s="1" t="n">
        <v>1318</v>
      </c>
      <c r="E49" s="1" t="n">
        <v>2023</v>
      </c>
      <c r="F49" s="1" t="n">
        <v>1281</v>
      </c>
      <c r="G49" s="1" t="n">
        <v>1281</v>
      </c>
      <c r="I49" s="1" t="s">
        <v>14</v>
      </c>
      <c r="K49" s="2" t="n">
        <f aca="false">G49</f>
        <v>1281</v>
      </c>
    </row>
    <row r="50" customFormat="false" ht="12.8" hidden="false" customHeight="false" outlineLevel="0" collapsed="false">
      <c r="A50" s="1" t="s">
        <v>11</v>
      </c>
      <c r="B50" s="1" t="s">
        <v>12</v>
      </c>
      <c r="C50" s="1" t="s">
        <v>69</v>
      </c>
      <c r="D50" s="1" t="n">
        <v>1903</v>
      </c>
      <c r="E50" s="1" t="n">
        <v>2023</v>
      </c>
      <c r="F50" s="1" t="n">
        <v>1880</v>
      </c>
      <c r="G50" s="1" t="n">
        <v>855</v>
      </c>
      <c r="H50" s="1" t="n">
        <v>1025</v>
      </c>
      <c r="I50" s="1" t="s">
        <v>47</v>
      </c>
      <c r="K50" s="2" t="n">
        <f aca="false">G50</f>
        <v>855</v>
      </c>
    </row>
    <row r="51" customFormat="false" ht="12.8" hidden="false" customHeight="false" outlineLevel="0" collapsed="false">
      <c r="A51" s="1" t="s">
        <v>11</v>
      </c>
      <c r="B51" s="1" t="s">
        <v>12</v>
      </c>
      <c r="C51" s="1" t="s">
        <v>70</v>
      </c>
      <c r="D51" s="1" t="n">
        <v>1413</v>
      </c>
      <c r="E51" s="1" t="n">
        <v>2024</v>
      </c>
      <c r="F51" s="1" t="n">
        <v>1417</v>
      </c>
      <c r="G51" s="1" t="n">
        <v>1417</v>
      </c>
      <c r="I51" s="1" t="s">
        <v>14</v>
      </c>
      <c r="K51" s="2" t="n">
        <f aca="false">G51</f>
        <v>1417</v>
      </c>
    </row>
    <row r="52" customFormat="false" ht="12.8" hidden="false" customHeight="false" outlineLevel="0" collapsed="false">
      <c r="A52" s="1" t="s">
        <v>11</v>
      </c>
      <c r="B52" s="1" t="s">
        <v>12</v>
      </c>
      <c r="C52" s="1" t="s">
        <v>71</v>
      </c>
      <c r="D52" s="1" t="n">
        <v>1607</v>
      </c>
      <c r="E52" s="1" t="n">
        <v>2024</v>
      </c>
      <c r="F52" s="1" t="n">
        <v>1184</v>
      </c>
      <c r="G52" s="1" t="n">
        <v>1184</v>
      </c>
      <c r="I52" s="1" t="s">
        <v>14</v>
      </c>
      <c r="K52" s="2" t="n">
        <f aca="false">G52</f>
        <v>1184</v>
      </c>
    </row>
    <row r="53" customFormat="false" ht="12.8" hidden="false" customHeight="false" outlineLevel="0" collapsed="false">
      <c r="A53" s="1" t="s">
        <v>11</v>
      </c>
      <c r="B53" s="1" t="s">
        <v>12</v>
      </c>
      <c r="C53" s="1" t="s">
        <v>72</v>
      </c>
      <c r="D53" s="1" t="n">
        <v>1957</v>
      </c>
      <c r="E53" s="1" t="n">
        <v>2024</v>
      </c>
      <c r="F53" s="1" t="n">
        <v>1749</v>
      </c>
      <c r="G53" s="1" t="n">
        <v>780</v>
      </c>
      <c r="H53" s="1" t="n">
        <v>969</v>
      </c>
      <c r="I53" s="1" t="s">
        <v>14</v>
      </c>
      <c r="K53" s="2" t="n">
        <f aca="false">G53</f>
        <v>780</v>
      </c>
    </row>
    <row r="54" customFormat="false" ht="12.8" hidden="false" customHeight="false" outlineLevel="0" collapsed="false">
      <c r="A54" s="1" t="s">
        <v>11</v>
      </c>
      <c r="B54" s="1" t="s">
        <v>12</v>
      </c>
      <c r="C54" s="1" t="s">
        <v>73</v>
      </c>
      <c r="D54" s="1" t="n">
        <v>6886</v>
      </c>
      <c r="E54" s="1" t="n">
        <v>2025</v>
      </c>
      <c r="F54" s="1" t="n">
        <v>6331</v>
      </c>
      <c r="G54" s="1" t="n">
        <v>3356</v>
      </c>
      <c r="H54" s="1" t="n">
        <v>2975</v>
      </c>
      <c r="I54" s="1" t="s">
        <v>17</v>
      </c>
      <c r="K54" s="2" t="n">
        <f aca="false">G54</f>
        <v>3356</v>
      </c>
    </row>
    <row r="55" customFormat="false" ht="12.8" hidden="false" customHeight="false" outlineLevel="0" collapsed="false">
      <c r="A55" s="1" t="s">
        <v>11</v>
      </c>
      <c r="B55" s="1" t="s">
        <v>12</v>
      </c>
      <c r="C55" s="1" t="s">
        <v>74</v>
      </c>
      <c r="D55" s="1" t="n">
        <v>2950</v>
      </c>
      <c r="E55" s="1" t="n">
        <v>2025</v>
      </c>
      <c r="F55" s="1" t="n">
        <v>2681</v>
      </c>
      <c r="G55" s="1" t="n">
        <v>950</v>
      </c>
      <c r="H55" s="1" t="n">
        <v>1730</v>
      </c>
      <c r="I55" s="1" t="s">
        <v>17</v>
      </c>
      <c r="K55" s="2" t="n">
        <f aca="false">G55</f>
        <v>950</v>
      </c>
    </row>
    <row r="56" customFormat="false" ht="12.8" hidden="false" customHeight="false" outlineLevel="0" collapsed="false">
      <c r="A56" s="1" t="s">
        <v>11</v>
      </c>
      <c r="B56" s="1" t="s">
        <v>12</v>
      </c>
      <c r="C56" s="1" t="s">
        <v>75</v>
      </c>
      <c r="D56" s="1" t="n">
        <v>1272</v>
      </c>
      <c r="E56" s="1" t="n">
        <v>2025</v>
      </c>
      <c r="F56" s="1" t="n">
        <v>838</v>
      </c>
      <c r="G56" s="1" t="n">
        <v>837</v>
      </c>
      <c r="I56" s="1" t="s">
        <v>14</v>
      </c>
      <c r="K56" s="2" t="n">
        <f aca="false">G56</f>
        <v>837</v>
      </c>
    </row>
    <row r="57" customFormat="false" ht="12.8" hidden="false" customHeight="false" outlineLevel="0" collapsed="false">
      <c r="A57" s="1" t="s">
        <v>11</v>
      </c>
      <c r="B57" s="1" t="s">
        <v>12</v>
      </c>
      <c r="C57" s="1" t="s">
        <v>76</v>
      </c>
      <c r="D57" s="1" t="n">
        <v>6807</v>
      </c>
      <c r="E57" s="1" t="n">
        <v>2025</v>
      </c>
      <c r="F57" s="1" t="n">
        <v>7742</v>
      </c>
      <c r="G57" s="1" t="n">
        <v>6849</v>
      </c>
      <c r="H57" s="1" t="n">
        <v>893</v>
      </c>
      <c r="I57" s="1" t="s">
        <v>24</v>
      </c>
      <c r="K57" s="2" t="n">
        <f aca="false">G57</f>
        <v>6849</v>
      </c>
    </row>
    <row r="58" customFormat="false" ht="12.8" hidden="false" customHeight="false" outlineLevel="0" collapsed="false">
      <c r="A58" s="1" t="s">
        <v>11</v>
      </c>
      <c r="B58" s="1" t="s">
        <v>77</v>
      </c>
      <c r="C58" s="1" t="s">
        <v>78</v>
      </c>
      <c r="D58" s="1" t="n">
        <v>3404</v>
      </c>
      <c r="E58" s="1" t="n">
        <v>2026</v>
      </c>
      <c r="G58" s="1" t="n">
        <v>3242</v>
      </c>
      <c r="I58" s="1" t="s">
        <v>47</v>
      </c>
      <c r="K58" s="2" t="n">
        <f aca="false">G58</f>
        <v>3242</v>
      </c>
    </row>
    <row r="59" customFormat="false" ht="12.8" hidden="false" customHeight="false" outlineLevel="0" collapsed="false">
      <c r="A59" s="1" t="s">
        <v>11</v>
      </c>
      <c r="B59" s="1" t="s">
        <v>77</v>
      </c>
      <c r="C59" s="1" t="s">
        <v>79</v>
      </c>
      <c r="D59" s="1" t="n">
        <v>3999</v>
      </c>
      <c r="G59" s="1" t="n">
        <v>3718</v>
      </c>
      <c r="I59" s="1" t="s">
        <v>24</v>
      </c>
      <c r="K59" s="2" t="n">
        <f aca="false">G59</f>
        <v>3718</v>
      </c>
    </row>
    <row r="60" customFormat="false" ht="12.8" hidden="false" customHeight="false" outlineLevel="0" collapsed="false">
      <c r="A60" s="1" t="s">
        <v>11</v>
      </c>
      <c r="B60" s="1" t="s">
        <v>77</v>
      </c>
      <c r="C60" s="1" t="s">
        <v>80</v>
      </c>
      <c r="D60" s="1" t="n">
        <v>3186</v>
      </c>
      <c r="G60" s="1" t="n">
        <v>617</v>
      </c>
      <c r="H60" s="1" t="n">
        <v>2168</v>
      </c>
      <c r="I60" s="1" t="s">
        <v>14</v>
      </c>
      <c r="K60" s="2" t="n">
        <f aca="false">G60</f>
        <v>617</v>
      </c>
    </row>
    <row r="61" customFormat="false" ht="12.8" hidden="false" customHeight="false" outlineLevel="0" collapsed="false">
      <c r="A61" s="1" t="s">
        <v>11</v>
      </c>
      <c r="B61" s="1" t="s">
        <v>77</v>
      </c>
      <c r="C61" s="1" t="s">
        <v>81</v>
      </c>
      <c r="D61" s="1" t="n">
        <v>3666</v>
      </c>
      <c r="G61" s="1" t="n">
        <v>3492</v>
      </c>
      <c r="I61" s="1" t="s">
        <v>17</v>
      </c>
      <c r="J61" s="1" t="s">
        <v>82</v>
      </c>
      <c r="K61" s="2" t="n">
        <f aca="false">G61</f>
        <v>3492</v>
      </c>
    </row>
    <row r="62" customFormat="false" ht="12.8" hidden="false" customHeight="false" outlineLevel="0" collapsed="false">
      <c r="A62" s="1" t="s">
        <v>11</v>
      </c>
      <c r="B62" s="1" t="s">
        <v>77</v>
      </c>
      <c r="C62" s="1" t="s">
        <v>83</v>
      </c>
      <c r="D62" s="1" t="n">
        <v>24110</v>
      </c>
      <c r="G62" s="1" t="n">
        <v>16093</v>
      </c>
      <c r="H62" s="1" t="n">
        <v>8017</v>
      </c>
      <c r="I62" s="1" t="s">
        <v>14</v>
      </c>
      <c r="J62" s="1" t="s">
        <v>84</v>
      </c>
      <c r="K62" s="2" t="n">
        <f aca="false">G62</f>
        <v>16093</v>
      </c>
    </row>
    <row r="63" customFormat="false" ht="12.8" hidden="false" customHeight="false" outlineLevel="0" collapsed="false">
      <c r="A63" s="1" t="s">
        <v>11</v>
      </c>
      <c r="B63" s="1" t="s">
        <v>77</v>
      </c>
      <c r="C63" s="1" t="s">
        <v>85</v>
      </c>
      <c r="D63" s="1" t="n">
        <v>6128</v>
      </c>
      <c r="G63" s="1" t="n">
        <v>2620</v>
      </c>
      <c r="H63" s="1" t="n">
        <v>2826</v>
      </c>
      <c r="I63" s="1" t="s">
        <v>60</v>
      </c>
      <c r="K63" s="2" t="n">
        <f aca="false">G63</f>
        <v>2620</v>
      </c>
    </row>
    <row r="64" customFormat="false" ht="12.8" hidden="false" customHeight="false" outlineLevel="0" collapsed="false">
      <c r="A64" s="1" t="s">
        <v>11</v>
      </c>
      <c r="B64" s="1" t="s">
        <v>77</v>
      </c>
      <c r="C64" s="1" t="s">
        <v>86</v>
      </c>
      <c r="D64" s="1" t="n">
        <v>24123</v>
      </c>
      <c r="G64" s="1" t="n">
        <v>6527</v>
      </c>
      <c r="H64" s="1" t="n">
        <v>14973</v>
      </c>
      <c r="I64" s="1" t="s">
        <v>17</v>
      </c>
      <c r="K64" s="2" t="n">
        <f aca="false">G64</f>
        <v>6527</v>
      </c>
    </row>
    <row r="65" customFormat="false" ht="12.8" hidden="false" customHeight="false" outlineLevel="0" collapsed="false">
      <c r="A65" s="1" t="s">
        <v>11</v>
      </c>
      <c r="B65" s="1" t="s">
        <v>77</v>
      </c>
      <c r="C65" s="1" t="s">
        <v>87</v>
      </c>
      <c r="D65" s="1" t="n">
        <v>23498</v>
      </c>
      <c r="G65" s="1" t="n">
        <v>21893</v>
      </c>
      <c r="H65" s="1" t="n">
        <v>1605</v>
      </c>
      <c r="I65" s="1" t="s">
        <v>24</v>
      </c>
      <c r="J65" s="1" t="s">
        <v>84</v>
      </c>
      <c r="K65" s="2" t="n">
        <f aca="false">G65</f>
        <v>21893</v>
      </c>
    </row>
    <row r="66" customFormat="false" ht="12.8" hidden="false" customHeight="false" outlineLevel="0" collapsed="false">
      <c r="A66" s="1" t="s">
        <v>11</v>
      </c>
      <c r="B66" s="1" t="s">
        <v>77</v>
      </c>
      <c r="C66" s="1" t="s">
        <v>88</v>
      </c>
      <c r="D66" s="1" t="n">
        <v>1304</v>
      </c>
      <c r="G66" s="1" t="n">
        <v>1215</v>
      </c>
      <c r="I66" s="1" t="s">
        <v>14</v>
      </c>
      <c r="K66" s="2" t="n">
        <f aca="false">G66</f>
        <v>1215</v>
      </c>
    </row>
    <row r="67" customFormat="false" ht="12.8" hidden="false" customHeight="false" outlineLevel="0" collapsed="false">
      <c r="A67" s="1" t="s">
        <v>11</v>
      </c>
      <c r="B67" s="1" t="s">
        <v>77</v>
      </c>
      <c r="C67" s="1" t="s">
        <v>89</v>
      </c>
      <c r="D67" s="1" t="n">
        <v>1457</v>
      </c>
      <c r="G67" s="1" t="n">
        <v>22</v>
      </c>
      <c r="H67" s="1" t="n">
        <v>1229</v>
      </c>
      <c r="I67" s="1" t="s">
        <v>14</v>
      </c>
      <c r="K67" s="2" t="n">
        <f aca="false">G67</f>
        <v>22</v>
      </c>
    </row>
    <row r="68" customFormat="false" ht="12.8" hidden="false" customHeight="false" outlineLevel="0" collapsed="false">
      <c r="A68" s="1" t="s">
        <v>11</v>
      </c>
      <c r="B68" s="1" t="s">
        <v>77</v>
      </c>
      <c r="C68" s="1" t="s">
        <v>90</v>
      </c>
      <c r="D68" s="1" t="n">
        <v>1608</v>
      </c>
      <c r="G68" s="1" t="n">
        <v>1506</v>
      </c>
      <c r="I68" s="1" t="s">
        <v>14</v>
      </c>
      <c r="K68" s="2" t="n">
        <f aca="false">G68</f>
        <v>1506</v>
      </c>
    </row>
    <row r="69" customFormat="false" ht="12.8" hidden="false" customHeight="false" outlineLevel="0" collapsed="false">
      <c r="A69" s="1" t="s">
        <v>11</v>
      </c>
      <c r="B69" s="1" t="s">
        <v>77</v>
      </c>
      <c r="C69" s="1" t="s">
        <v>91</v>
      </c>
      <c r="D69" s="1" t="n">
        <v>2103</v>
      </c>
      <c r="G69" s="1" t="n">
        <v>1874</v>
      </c>
      <c r="I69" s="1" t="s">
        <v>24</v>
      </c>
      <c r="K69" s="2" t="n">
        <f aca="false">G69</f>
        <v>1874</v>
      </c>
    </row>
    <row r="70" customFormat="false" ht="12.8" hidden="false" customHeight="false" outlineLevel="0" collapsed="false">
      <c r="A70" s="1" t="s">
        <v>11</v>
      </c>
      <c r="B70" s="1" t="s">
        <v>77</v>
      </c>
      <c r="C70" s="1" t="s">
        <v>92</v>
      </c>
      <c r="D70" s="1" t="n">
        <v>5018</v>
      </c>
      <c r="G70" s="1" t="n">
        <v>4140</v>
      </c>
      <c r="H70" s="1" t="n">
        <v>703</v>
      </c>
      <c r="I70" s="1" t="s">
        <v>14</v>
      </c>
      <c r="K70" s="2" t="n">
        <f aca="false">G70</f>
        <v>4140</v>
      </c>
    </row>
    <row r="71" customFormat="false" ht="12.8" hidden="false" customHeight="false" outlineLevel="0" collapsed="false">
      <c r="A71" s="1" t="s">
        <v>11</v>
      </c>
      <c r="B71" s="1" t="s">
        <v>77</v>
      </c>
      <c r="C71" s="1" t="s">
        <v>93</v>
      </c>
      <c r="D71" s="1" t="n">
        <v>2958</v>
      </c>
      <c r="G71" s="1" t="n">
        <v>2671</v>
      </c>
      <c r="I71" s="1" t="s">
        <v>14</v>
      </c>
      <c r="K71" s="2" t="n">
        <f aca="false">G71</f>
        <v>2671</v>
      </c>
    </row>
    <row r="72" customFormat="false" ht="12.8" hidden="false" customHeight="false" outlineLevel="0" collapsed="false">
      <c r="A72" s="1" t="s">
        <v>11</v>
      </c>
      <c r="B72" s="1" t="s">
        <v>77</v>
      </c>
      <c r="C72" s="1" t="s">
        <v>94</v>
      </c>
      <c r="D72" s="1" t="n">
        <v>7421</v>
      </c>
      <c r="G72" s="1" t="n">
        <v>7205</v>
      </c>
      <c r="I72" s="1" t="s">
        <v>24</v>
      </c>
      <c r="K72" s="2" t="n">
        <f aca="false">G72</f>
        <v>7205</v>
      </c>
    </row>
    <row r="73" customFormat="false" ht="12.8" hidden="false" customHeight="false" outlineLevel="0" collapsed="false">
      <c r="A73" s="1" t="s">
        <v>11</v>
      </c>
      <c r="B73" s="1" t="s">
        <v>77</v>
      </c>
      <c r="C73" s="1" t="s">
        <v>95</v>
      </c>
      <c r="D73" s="1" t="n">
        <v>28171</v>
      </c>
      <c r="G73" s="1" t="n">
        <v>11334</v>
      </c>
      <c r="H73" s="1" t="n">
        <v>16965</v>
      </c>
      <c r="I73" s="1" t="s">
        <v>14</v>
      </c>
      <c r="K73" s="2" t="n">
        <f aca="false">G73</f>
        <v>11334</v>
      </c>
    </row>
    <row r="74" customFormat="false" ht="12.8" hidden="false" customHeight="false" outlineLevel="0" collapsed="false">
      <c r="A74" s="1" t="s">
        <v>11</v>
      </c>
      <c r="B74" s="1" t="s">
        <v>77</v>
      </c>
      <c r="C74" s="1" t="s">
        <v>96</v>
      </c>
      <c r="D74" s="1" t="n">
        <v>8104</v>
      </c>
      <c r="G74" s="1" t="n">
        <v>2713</v>
      </c>
      <c r="H74" s="1" t="n">
        <v>5374</v>
      </c>
      <c r="I74" s="1" t="s">
        <v>17</v>
      </c>
      <c r="K74" s="2" t="n">
        <f aca="false">G74</f>
        <v>2713</v>
      </c>
    </row>
    <row r="75" customFormat="false" ht="12.8" hidden="false" customHeight="false" outlineLevel="0" collapsed="false">
      <c r="A75" s="1" t="s">
        <v>11</v>
      </c>
      <c r="B75" s="1" t="s">
        <v>77</v>
      </c>
      <c r="C75" s="1" t="s">
        <v>97</v>
      </c>
      <c r="D75" s="1" t="n">
        <v>50373</v>
      </c>
      <c r="G75" s="1" t="n">
        <v>37749</v>
      </c>
      <c r="H75" s="1" t="n">
        <v>4303</v>
      </c>
      <c r="I75" s="1" t="s">
        <v>14</v>
      </c>
      <c r="K75" s="2" t="n">
        <f aca="false">G75</f>
        <v>37749</v>
      </c>
    </row>
    <row r="76" customFormat="false" ht="12.8" hidden="false" customHeight="false" outlineLevel="0" collapsed="false">
      <c r="A76" s="1" t="s">
        <v>98</v>
      </c>
      <c r="B76" s="1" t="s">
        <v>12</v>
      </c>
      <c r="C76" s="1" t="s">
        <v>99</v>
      </c>
      <c r="D76" s="1" t="n">
        <v>8942</v>
      </c>
      <c r="E76" s="1" t="n">
        <v>2019</v>
      </c>
      <c r="H76" s="1" t="n">
        <v>2709</v>
      </c>
      <c r="I76" s="1" t="s">
        <v>60</v>
      </c>
      <c r="J76" s="1" t="s">
        <v>100</v>
      </c>
      <c r="K76" s="3" t="n">
        <f aca="false">D76-H76</f>
        <v>6233</v>
      </c>
    </row>
    <row r="77" customFormat="false" ht="12.8" hidden="false" customHeight="false" outlineLevel="0" collapsed="false">
      <c r="A77" s="1" t="s">
        <v>98</v>
      </c>
      <c r="B77" s="1" t="s">
        <v>12</v>
      </c>
      <c r="C77" s="1" t="s">
        <v>101</v>
      </c>
      <c r="D77" s="1" t="n">
        <v>14468</v>
      </c>
      <c r="E77" s="1" t="n">
        <v>2020</v>
      </c>
      <c r="H77" s="1" t="n">
        <v>5784</v>
      </c>
      <c r="I77" s="1" t="s">
        <v>17</v>
      </c>
      <c r="J77" s="1" t="s">
        <v>100</v>
      </c>
      <c r="K77" s="3" t="n">
        <f aca="false">D77-H77</f>
        <v>8684</v>
      </c>
    </row>
    <row r="78" customFormat="false" ht="12.8" hidden="false" customHeight="false" outlineLevel="0" collapsed="false">
      <c r="A78" s="1" t="s">
        <v>98</v>
      </c>
      <c r="B78" s="1" t="s">
        <v>12</v>
      </c>
      <c r="C78" s="1" t="s">
        <v>102</v>
      </c>
      <c r="D78" s="1" t="n">
        <v>2735</v>
      </c>
      <c r="E78" s="1" t="n">
        <v>2024</v>
      </c>
      <c r="I78" s="1" t="s">
        <v>24</v>
      </c>
      <c r="J78" s="1" t="s">
        <v>100</v>
      </c>
      <c r="K78" s="3" t="n">
        <f aca="false">D78-H78</f>
        <v>2735</v>
      </c>
    </row>
    <row r="79" customFormat="false" ht="12.8" hidden="false" customHeight="false" outlineLevel="0" collapsed="false">
      <c r="A79" s="1" t="s">
        <v>98</v>
      </c>
      <c r="B79" s="1" t="s">
        <v>77</v>
      </c>
      <c r="C79" s="1" t="s">
        <v>103</v>
      </c>
      <c r="D79" s="1" t="n">
        <v>9546</v>
      </c>
      <c r="H79" s="1" t="n">
        <v>4420</v>
      </c>
      <c r="I79" s="1" t="s">
        <v>60</v>
      </c>
      <c r="J79" s="1" t="s">
        <v>104</v>
      </c>
      <c r="K79" s="3" t="n">
        <f aca="false">D79-H79</f>
        <v>5126</v>
      </c>
    </row>
    <row r="80" customFormat="false" ht="12.8" hidden="false" customHeight="false" outlineLevel="0" collapsed="false">
      <c r="A80" s="1" t="s">
        <v>98</v>
      </c>
      <c r="B80" s="1" t="s">
        <v>77</v>
      </c>
      <c r="C80" s="1" t="s">
        <v>105</v>
      </c>
      <c r="D80" s="1" t="n">
        <v>33581</v>
      </c>
      <c r="H80" s="1" t="n">
        <v>11291</v>
      </c>
      <c r="I80" s="1" t="s">
        <v>60</v>
      </c>
      <c r="J80" s="1" t="s">
        <v>104</v>
      </c>
      <c r="K80" s="3" t="n">
        <f aca="false">D80-H80</f>
        <v>22290</v>
      </c>
    </row>
    <row r="81" customFormat="false" ht="12.8" hidden="false" customHeight="false" outlineLevel="0" collapsed="false">
      <c r="A81" s="1" t="s">
        <v>98</v>
      </c>
      <c r="B81" s="1" t="s">
        <v>77</v>
      </c>
      <c r="C81" s="1" t="s">
        <v>106</v>
      </c>
      <c r="D81" s="1" t="n">
        <v>24607</v>
      </c>
      <c r="H81" s="1" t="n">
        <v>8428</v>
      </c>
      <c r="I81" s="1" t="s">
        <v>17</v>
      </c>
      <c r="J81" s="1" t="s">
        <v>104</v>
      </c>
      <c r="K81" s="3" t="n">
        <f aca="false">D81-H81</f>
        <v>16179</v>
      </c>
    </row>
    <row r="82" customFormat="false" ht="12.8" hidden="false" customHeight="false" outlineLevel="0" collapsed="false">
      <c r="A82" s="1" t="s">
        <v>98</v>
      </c>
      <c r="B82" s="1" t="s">
        <v>77</v>
      </c>
      <c r="C82" s="1" t="s">
        <v>107</v>
      </c>
      <c r="D82" s="1" t="n">
        <v>23807</v>
      </c>
      <c r="H82" s="1" t="n">
        <v>8825</v>
      </c>
      <c r="I82" s="1" t="s">
        <v>47</v>
      </c>
      <c r="J82" s="1" t="s">
        <v>104</v>
      </c>
      <c r="K82" s="3" t="n">
        <f aca="false">D82-H82</f>
        <v>14982</v>
      </c>
    </row>
    <row r="83" customFormat="false" ht="12.8" hidden="false" customHeight="false" outlineLevel="0" collapsed="false">
      <c r="A83" s="1" t="s">
        <v>98</v>
      </c>
      <c r="B83" s="1" t="s">
        <v>77</v>
      </c>
      <c r="C83" s="1" t="s">
        <v>108</v>
      </c>
      <c r="D83" s="1" t="n">
        <v>19268</v>
      </c>
      <c r="H83" s="1" t="n">
        <v>9539</v>
      </c>
      <c r="I83" s="1" t="s">
        <v>47</v>
      </c>
      <c r="J83" s="1" t="s">
        <v>104</v>
      </c>
      <c r="K83" s="3" t="n">
        <f aca="false">D83-H83</f>
        <v>9729</v>
      </c>
    </row>
    <row r="84" customFormat="false" ht="12.8" hidden="false" customHeight="false" outlineLevel="0" collapsed="false">
      <c r="A84" s="1" t="s">
        <v>109</v>
      </c>
      <c r="B84" s="1" t="s">
        <v>12</v>
      </c>
      <c r="C84" s="1" t="s">
        <v>110</v>
      </c>
      <c r="D84" s="1" t="n">
        <v>5406</v>
      </c>
      <c r="E84" s="1" t="n">
        <v>2015</v>
      </c>
      <c r="F84" s="1" t="n">
        <v>4219</v>
      </c>
      <c r="I84" s="1" t="s">
        <v>17</v>
      </c>
      <c r="J84" s="1" t="s">
        <v>111</v>
      </c>
      <c r="K84" s="4" t="n">
        <f aca="false">D84</f>
        <v>5406</v>
      </c>
    </row>
    <row r="85" customFormat="false" ht="12.8" hidden="false" customHeight="false" outlineLevel="0" collapsed="false">
      <c r="A85" s="1" t="s">
        <v>109</v>
      </c>
      <c r="B85" s="1" t="s">
        <v>12</v>
      </c>
      <c r="C85" s="1" t="s">
        <v>112</v>
      </c>
      <c r="D85" s="1" t="n">
        <v>6663</v>
      </c>
      <c r="E85" s="1" t="n">
        <v>2016</v>
      </c>
      <c r="F85" s="1" t="n">
        <v>6443</v>
      </c>
      <c r="I85" s="1" t="s">
        <v>17</v>
      </c>
      <c r="J85" s="1" t="s">
        <v>111</v>
      </c>
      <c r="K85" s="4" t="n">
        <f aca="false">D85</f>
        <v>6663</v>
      </c>
    </row>
    <row r="86" customFormat="false" ht="12.8" hidden="false" customHeight="false" outlineLevel="0" collapsed="false">
      <c r="A86" s="1" t="s">
        <v>109</v>
      </c>
      <c r="B86" s="1" t="s">
        <v>12</v>
      </c>
      <c r="C86" s="1" t="s">
        <v>113</v>
      </c>
      <c r="D86" s="1" t="n">
        <v>7575</v>
      </c>
      <c r="E86" s="1" t="n">
        <v>2018</v>
      </c>
      <c r="F86" s="1" t="n">
        <v>7448</v>
      </c>
      <c r="I86" s="1" t="s">
        <v>17</v>
      </c>
      <c r="J86" s="1" t="s">
        <v>111</v>
      </c>
      <c r="K86" s="4" t="n">
        <f aca="false">D86</f>
        <v>7575</v>
      </c>
    </row>
    <row r="87" customFormat="false" ht="12.8" hidden="false" customHeight="false" outlineLevel="0" collapsed="false">
      <c r="A87" s="1" t="s">
        <v>109</v>
      </c>
      <c r="B87" s="1" t="s">
        <v>12</v>
      </c>
      <c r="C87" s="1" t="s">
        <v>114</v>
      </c>
      <c r="D87" s="1" t="n">
        <v>37535</v>
      </c>
      <c r="E87" s="1" t="n">
        <v>2023</v>
      </c>
      <c r="F87" s="1" t="n">
        <v>37470</v>
      </c>
      <c r="I87" s="1" t="s">
        <v>17</v>
      </c>
      <c r="K87" s="4" t="n">
        <f aca="false">D87</f>
        <v>37535</v>
      </c>
    </row>
    <row r="88" customFormat="false" ht="12.8" hidden="false" customHeight="false" outlineLevel="0" collapsed="false">
      <c r="A88" s="1" t="s">
        <v>109</v>
      </c>
      <c r="B88" s="1" t="s">
        <v>12</v>
      </c>
      <c r="C88" s="1" t="s">
        <v>115</v>
      </c>
      <c r="D88" s="1" t="n">
        <v>7898</v>
      </c>
      <c r="E88" s="1" t="n">
        <v>2024</v>
      </c>
      <c r="F88" s="1" t="n">
        <v>6202</v>
      </c>
      <c r="I88" s="1" t="s">
        <v>17</v>
      </c>
      <c r="K88" s="4" t="n">
        <f aca="false">D88</f>
        <v>7898</v>
      </c>
    </row>
    <row r="89" customFormat="false" ht="12.8" hidden="false" customHeight="false" outlineLevel="0" collapsed="false">
      <c r="A89" s="1" t="s">
        <v>109</v>
      </c>
      <c r="B89" s="1" t="s">
        <v>12</v>
      </c>
      <c r="C89" s="1" t="s">
        <v>116</v>
      </c>
      <c r="D89" s="1" t="n">
        <v>5018</v>
      </c>
      <c r="E89" s="1" t="n">
        <v>2024</v>
      </c>
      <c r="F89" s="1" t="n">
        <v>4744</v>
      </c>
      <c r="I89" s="1" t="s">
        <v>14</v>
      </c>
      <c r="K89" s="4" t="n">
        <f aca="false">D89</f>
        <v>5018</v>
      </c>
    </row>
    <row r="90" customFormat="false" ht="12.8" hidden="false" customHeight="false" outlineLevel="0" collapsed="false">
      <c r="A90" s="1" t="s">
        <v>109</v>
      </c>
      <c r="B90" s="1" t="s">
        <v>12</v>
      </c>
      <c r="C90" s="1" t="s">
        <v>117</v>
      </c>
      <c r="D90" s="1" t="n">
        <v>4910</v>
      </c>
      <c r="E90" s="1" t="n">
        <v>2024</v>
      </c>
      <c r="F90" s="1" t="n">
        <v>3136</v>
      </c>
      <c r="I90" s="1" t="s">
        <v>14</v>
      </c>
      <c r="K90" s="4" t="n">
        <f aca="false">D90</f>
        <v>4910</v>
      </c>
    </row>
    <row r="91" customFormat="false" ht="12.8" hidden="false" customHeight="false" outlineLevel="0" collapsed="false">
      <c r="A91" s="1" t="s">
        <v>109</v>
      </c>
      <c r="B91" s="1" t="s">
        <v>12</v>
      </c>
      <c r="C91" s="1" t="s">
        <v>118</v>
      </c>
      <c r="D91" s="1" t="n">
        <v>2727</v>
      </c>
      <c r="E91" s="1" t="n">
        <v>2025</v>
      </c>
      <c r="F91" s="1" t="n">
        <v>2394</v>
      </c>
      <c r="I91" s="1" t="s">
        <v>47</v>
      </c>
      <c r="K91" s="4" t="n">
        <f aca="false">D91</f>
        <v>2727</v>
      </c>
    </row>
    <row r="92" customFormat="false" ht="12.8" hidden="false" customHeight="false" outlineLevel="0" collapsed="false">
      <c r="A92" s="1" t="s">
        <v>109</v>
      </c>
      <c r="B92" s="1" t="s">
        <v>12</v>
      </c>
      <c r="C92" s="1" t="s">
        <v>119</v>
      </c>
      <c r="D92" s="1" t="n">
        <v>18087</v>
      </c>
      <c r="E92" s="1" t="n">
        <v>2025</v>
      </c>
      <c r="F92" s="1" t="n">
        <v>13095</v>
      </c>
      <c r="I92" s="1" t="s">
        <v>17</v>
      </c>
      <c r="K92" s="4" t="n">
        <f aca="false">D92</f>
        <v>18087</v>
      </c>
    </row>
    <row r="93" customFormat="false" ht="12.8" hidden="false" customHeight="false" outlineLevel="0" collapsed="false">
      <c r="A93" s="1" t="s">
        <v>109</v>
      </c>
      <c r="B93" s="1" t="s">
        <v>77</v>
      </c>
      <c r="C93" s="1" t="s">
        <v>120</v>
      </c>
      <c r="D93" s="1" t="n">
        <v>38220</v>
      </c>
      <c r="I93" s="1" t="s">
        <v>121</v>
      </c>
      <c r="K93" s="4" t="n">
        <f aca="false">D93</f>
        <v>38220</v>
      </c>
    </row>
    <row r="94" customFormat="false" ht="12.8" hidden="false" customHeight="false" outlineLevel="0" collapsed="false">
      <c r="A94" s="1" t="s">
        <v>109</v>
      </c>
      <c r="B94" s="1" t="s">
        <v>77</v>
      </c>
      <c r="C94" s="1" t="s">
        <v>122</v>
      </c>
      <c r="D94" s="1" t="n">
        <v>1600</v>
      </c>
      <c r="I94" s="1" t="s">
        <v>17</v>
      </c>
      <c r="J94" s="1" t="s">
        <v>123</v>
      </c>
      <c r="K94" s="4" t="n">
        <f aca="false">D94</f>
        <v>1600</v>
      </c>
    </row>
    <row r="95" customFormat="false" ht="12.8" hidden="false" customHeight="false" outlineLevel="0" collapsed="false">
      <c r="A95" s="1" t="s">
        <v>109</v>
      </c>
      <c r="B95" s="1" t="s">
        <v>77</v>
      </c>
      <c r="C95" s="1" t="s">
        <v>124</v>
      </c>
      <c r="D95" s="1" t="n">
        <v>28519</v>
      </c>
      <c r="I95" s="1" t="s">
        <v>17</v>
      </c>
      <c r="K95" s="4" t="n">
        <f aca="false">D95</f>
        <v>28519</v>
      </c>
    </row>
    <row r="96" customFormat="false" ht="12.8" hidden="false" customHeight="false" outlineLevel="0" collapsed="false">
      <c r="A96" s="1" t="s">
        <v>109</v>
      </c>
      <c r="B96" s="1" t="s">
        <v>77</v>
      </c>
      <c r="C96" s="1" t="s">
        <v>125</v>
      </c>
      <c r="D96" s="1" t="n">
        <v>11190</v>
      </c>
      <c r="I96" s="1" t="s">
        <v>17</v>
      </c>
      <c r="K96" s="4" t="n">
        <f aca="false">D96</f>
        <v>11190</v>
      </c>
    </row>
    <row r="97" customFormat="false" ht="12.8" hidden="false" customHeight="false" outlineLevel="0" collapsed="false">
      <c r="A97" s="1" t="s">
        <v>109</v>
      </c>
      <c r="B97" s="1" t="s">
        <v>77</v>
      </c>
      <c r="C97" s="1" t="s">
        <v>126</v>
      </c>
      <c r="D97" s="1" t="n">
        <v>9659</v>
      </c>
      <c r="I97" s="1" t="s">
        <v>17</v>
      </c>
      <c r="K97" s="4" t="n">
        <f aca="false">D97</f>
        <v>9659</v>
      </c>
    </row>
    <row r="98" customFormat="false" ht="12.8" hidden="false" customHeight="false" outlineLevel="0" collapsed="false">
      <c r="A98" s="1" t="s">
        <v>109</v>
      </c>
      <c r="B98" s="1" t="s">
        <v>77</v>
      </c>
      <c r="C98" s="1" t="s">
        <v>127</v>
      </c>
      <c r="D98" s="1" t="n">
        <v>1984</v>
      </c>
      <c r="I98" s="1" t="s">
        <v>17</v>
      </c>
      <c r="K98" s="4" t="n">
        <f aca="false">D98</f>
        <v>1984</v>
      </c>
    </row>
    <row r="99" customFormat="false" ht="12.8" hidden="false" customHeight="false" outlineLevel="0" collapsed="false">
      <c r="A99" s="1" t="s">
        <v>109</v>
      </c>
      <c r="B99" s="1" t="s">
        <v>77</v>
      </c>
      <c r="C99" s="1" t="s">
        <v>128</v>
      </c>
      <c r="D99" s="1" t="n">
        <v>9069</v>
      </c>
      <c r="I99" s="1" t="s">
        <v>17</v>
      </c>
      <c r="K99" s="4" t="n">
        <f aca="false">D99</f>
        <v>9069</v>
      </c>
    </row>
    <row r="100" customFormat="false" ht="12.8" hidden="false" customHeight="false" outlineLevel="0" collapsed="false">
      <c r="A100" s="1" t="s">
        <v>129</v>
      </c>
      <c r="B100" s="1" t="s">
        <v>77</v>
      </c>
      <c r="C100" s="1" t="s">
        <v>130</v>
      </c>
      <c r="D100" s="1" t="n">
        <v>5112</v>
      </c>
      <c r="G100" s="1" t="n">
        <v>3902</v>
      </c>
      <c r="H100" s="1" t="n">
        <v>1210</v>
      </c>
      <c r="I100" s="1" t="s">
        <v>24</v>
      </c>
      <c r="K100" s="2" t="n">
        <f aca="false">G100</f>
        <v>3902</v>
      </c>
    </row>
    <row r="101" customFormat="false" ht="12.8" hidden="false" customHeight="false" outlineLevel="0" collapsed="false">
      <c r="A101" s="1" t="s">
        <v>129</v>
      </c>
      <c r="B101" s="1" t="s">
        <v>77</v>
      </c>
      <c r="C101" s="1" t="s">
        <v>131</v>
      </c>
      <c r="D101" s="1" t="n">
        <v>8108</v>
      </c>
      <c r="G101" s="1" t="n">
        <v>4917</v>
      </c>
      <c r="H101" s="1" t="n">
        <v>3191</v>
      </c>
      <c r="I101" s="1" t="s">
        <v>24</v>
      </c>
      <c r="K101" s="2" t="n">
        <f aca="false">G101</f>
        <v>4917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2"/>
  <sheetViews>
    <sheetView showFormulas="false" showGridLines="true" showRowColHeaders="true" showZeros="true" rightToLeft="false" tabSelected="false" showOutlineSymbols="true" defaultGridColor="true" view="normal" topLeftCell="I52" colorId="64" zoomScale="110" zoomScaleNormal="110" zoomScalePageLayoutView="100" workbookViewId="0">
      <selection pane="topLeft" activeCell="K1" activeCellId="0" sqref="K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9.07"/>
    <col collapsed="false" customWidth="true" hidden="false" outlineLevel="0" max="2" min="2" style="1" width="22.12"/>
    <col collapsed="false" customWidth="true" hidden="false" outlineLevel="0" max="3" min="3" style="1" width="45.07"/>
    <col collapsed="false" customWidth="true" hidden="false" outlineLevel="0" max="4" min="4" style="1" width="21.97"/>
    <col collapsed="false" customWidth="true" hidden="false" outlineLevel="0" max="5" min="5" style="1" width="19.61"/>
    <col collapsed="false" customWidth="true" hidden="false" outlineLevel="0" max="7" min="7" style="1" width="21.28"/>
    <col collapsed="false" customWidth="true" hidden="false" outlineLevel="0" max="8" min="8" style="1" width="20.58"/>
    <col collapsed="false" customWidth="true" hidden="false" outlineLevel="0" max="9" min="9" style="1" width="20.45"/>
    <col collapsed="false" customWidth="true" hidden="false" outlineLevel="0" max="10" min="10" style="1" width="66.65"/>
    <col collapsed="false" customWidth="true" hidden="false" outlineLevel="0" max="11" min="11" style="1" width="30.6"/>
    <col collapsed="false" customWidth="true" hidden="false" outlineLevel="0" max="12" min="12" style="1" width="16.69"/>
    <col collapsed="false" customWidth="true" hidden="false" outlineLevel="0" max="13" min="13" style="1" width="19.47"/>
    <col collapsed="false" customWidth="true" hidden="false" outlineLevel="0" max="14" min="14" style="1" width="20.99"/>
    <col collapsed="false" customWidth="true" hidden="false" outlineLevel="0" max="16" min="15" style="1" width="26.69"/>
  </cols>
  <sheetData>
    <row r="1" s="7" customFormat="tru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132</v>
      </c>
      <c r="L1" s="6" t="s">
        <v>133</v>
      </c>
      <c r="M1" s="6" t="s">
        <v>134</v>
      </c>
      <c r="N1" s="6" t="s">
        <v>135</v>
      </c>
      <c r="O1" s="6" t="s">
        <v>136</v>
      </c>
      <c r="P1" s="6" t="s">
        <v>137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1" t="n">
        <v>1031</v>
      </c>
      <c r="E2" s="1" t="n">
        <v>2014</v>
      </c>
      <c r="F2" s="1" t="n">
        <v>1018</v>
      </c>
      <c r="G2" s="1" t="n">
        <v>1018</v>
      </c>
      <c r="I2" s="1" t="s">
        <v>14</v>
      </c>
      <c r="K2" s="8"/>
      <c r="L2" s="8" t="s">
        <v>14</v>
      </c>
      <c r="M2" s="8" t="n">
        <v>1</v>
      </c>
      <c r="N2" s="8" t="n">
        <v>1</v>
      </c>
      <c r="O2" s="8" t="n">
        <v>1</v>
      </c>
      <c r="P2" s="8" t="n">
        <f aca="false">G2</f>
        <v>1018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15</v>
      </c>
      <c r="D3" s="1" t="n">
        <v>1807</v>
      </c>
      <c r="E3" s="1" t="n">
        <v>2014</v>
      </c>
      <c r="F3" s="1" t="n">
        <v>1574</v>
      </c>
      <c r="G3" s="1" t="n">
        <v>1574</v>
      </c>
      <c r="I3" s="1" t="s">
        <v>14</v>
      </c>
      <c r="K3" s="8"/>
      <c r="L3" s="8" t="s">
        <v>14</v>
      </c>
      <c r="M3" s="8" t="n">
        <v>1</v>
      </c>
      <c r="N3" s="8" t="n">
        <v>1</v>
      </c>
      <c r="O3" s="8" t="n">
        <v>1</v>
      </c>
      <c r="P3" s="8" t="n">
        <f aca="false">G3</f>
        <v>1574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16</v>
      </c>
      <c r="D4" s="1" t="n">
        <v>1907</v>
      </c>
      <c r="E4" s="1" t="n">
        <v>2014</v>
      </c>
      <c r="F4" s="1" t="n">
        <v>2078</v>
      </c>
      <c r="G4" s="1" t="n">
        <v>1746</v>
      </c>
      <c r="H4" s="1" t="n">
        <v>333</v>
      </c>
      <c r="I4" s="1" t="s">
        <v>17</v>
      </c>
      <c r="K4" s="8"/>
      <c r="L4" s="8" t="s">
        <v>17</v>
      </c>
      <c r="M4" s="8" t="n">
        <v>1</v>
      </c>
      <c r="N4" s="8" t="n">
        <v>1</v>
      </c>
      <c r="O4" s="8" t="n">
        <v>1</v>
      </c>
      <c r="P4" s="8" t="n">
        <f aca="false">G4</f>
        <v>1746</v>
      </c>
    </row>
    <row r="5" customFormat="false" ht="12.8" hidden="false" customHeight="false" outlineLevel="0" collapsed="false">
      <c r="A5" s="1" t="s">
        <v>11</v>
      </c>
      <c r="B5" s="1" t="s">
        <v>12</v>
      </c>
      <c r="C5" s="1" t="s">
        <v>18</v>
      </c>
      <c r="D5" s="1" t="n">
        <v>3213</v>
      </c>
      <c r="E5" s="1" t="n">
        <v>2014</v>
      </c>
      <c r="F5" s="1" t="n">
        <v>2736</v>
      </c>
      <c r="G5" s="1" t="n">
        <v>1296</v>
      </c>
      <c r="H5" s="1" t="n">
        <v>1440</v>
      </c>
      <c r="I5" s="1" t="s">
        <v>17</v>
      </c>
      <c r="K5" s="8"/>
      <c r="L5" s="8" t="s">
        <v>17</v>
      </c>
      <c r="M5" s="8" t="n">
        <v>1</v>
      </c>
      <c r="N5" s="8" t="n">
        <v>1</v>
      </c>
      <c r="O5" s="8" t="n">
        <v>1</v>
      </c>
      <c r="P5" s="8" t="n">
        <f aca="false">G5</f>
        <v>1296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1" t="s">
        <v>19</v>
      </c>
      <c r="D6" s="1" t="n">
        <v>3539</v>
      </c>
      <c r="E6" s="1" t="n">
        <v>2014</v>
      </c>
      <c r="F6" s="1" t="n">
        <v>3893</v>
      </c>
      <c r="G6" s="1" t="n">
        <v>1635</v>
      </c>
      <c r="H6" s="1" t="n">
        <v>2258</v>
      </c>
      <c r="I6" s="1" t="s">
        <v>17</v>
      </c>
      <c r="K6" s="8"/>
      <c r="L6" s="8" t="s">
        <v>17</v>
      </c>
      <c r="M6" s="8" t="n">
        <v>1</v>
      </c>
      <c r="N6" s="8" t="n">
        <v>1</v>
      </c>
      <c r="O6" s="8" t="n">
        <v>1</v>
      </c>
      <c r="P6" s="8" t="n">
        <f aca="false">G6</f>
        <v>1635</v>
      </c>
    </row>
    <row r="7" customFormat="false" ht="12.8" hidden="false" customHeight="false" outlineLevel="0" collapsed="false">
      <c r="A7" s="1" t="s">
        <v>11</v>
      </c>
      <c r="B7" s="1" t="s">
        <v>12</v>
      </c>
      <c r="C7" s="1" t="s">
        <v>20</v>
      </c>
      <c r="D7" s="1" t="n">
        <v>5221</v>
      </c>
      <c r="E7" s="1" t="n">
        <v>2014</v>
      </c>
      <c r="F7" s="1" t="n">
        <v>5172</v>
      </c>
      <c r="G7" s="1" t="n">
        <v>1545</v>
      </c>
      <c r="H7" s="1" t="n">
        <v>3627</v>
      </c>
      <c r="I7" s="1" t="s">
        <v>17</v>
      </c>
      <c r="K7" s="8"/>
      <c r="L7" s="8" t="s">
        <v>17</v>
      </c>
      <c r="M7" s="8" t="n">
        <v>1</v>
      </c>
      <c r="N7" s="8" t="n">
        <v>1</v>
      </c>
      <c r="O7" s="8" t="n">
        <v>1</v>
      </c>
      <c r="P7" s="8" t="n">
        <f aca="false">G7</f>
        <v>1545</v>
      </c>
    </row>
    <row r="8" customFormat="false" ht="12.8" hidden="false" customHeight="false" outlineLevel="0" collapsed="false">
      <c r="A8" s="1" t="s">
        <v>11</v>
      </c>
      <c r="B8" s="1" t="s">
        <v>12</v>
      </c>
      <c r="C8" s="1" t="s">
        <v>21</v>
      </c>
      <c r="D8" s="1" t="n">
        <v>1681</v>
      </c>
      <c r="E8" s="1" t="n">
        <v>2014</v>
      </c>
      <c r="F8" s="1" t="n">
        <v>1167</v>
      </c>
      <c r="G8" s="1" t="n">
        <v>1167</v>
      </c>
      <c r="I8" s="1" t="s">
        <v>22</v>
      </c>
      <c r="K8" s="8" t="s">
        <v>138</v>
      </c>
      <c r="L8" s="9" t="s">
        <v>14</v>
      </c>
      <c r="M8" s="8" t="n">
        <v>1</v>
      </c>
      <c r="N8" s="8" t="n">
        <v>1</v>
      </c>
      <c r="O8" s="8" t="n">
        <v>1</v>
      </c>
      <c r="P8" s="8" t="n">
        <f aca="false">G8</f>
        <v>1167</v>
      </c>
    </row>
    <row r="9" customFormat="false" ht="12.8" hidden="false" customHeight="false" outlineLevel="0" collapsed="false">
      <c r="A9" s="1" t="s">
        <v>11</v>
      </c>
      <c r="B9" s="1" t="s">
        <v>12</v>
      </c>
      <c r="C9" s="1" t="s">
        <v>23</v>
      </c>
      <c r="D9" s="1" t="n">
        <v>1106</v>
      </c>
      <c r="E9" s="1" t="n">
        <v>2014</v>
      </c>
      <c r="F9" s="1" t="n">
        <v>1347</v>
      </c>
      <c r="G9" s="1" t="n">
        <v>1347</v>
      </c>
      <c r="I9" s="1" t="s">
        <v>24</v>
      </c>
      <c r="K9" s="8"/>
      <c r="L9" s="8" t="s">
        <v>24</v>
      </c>
      <c r="M9" s="8" t="n">
        <v>1</v>
      </c>
      <c r="N9" s="8" t="n">
        <v>1</v>
      </c>
      <c r="O9" s="8" t="n">
        <v>1</v>
      </c>
      <c r="P9" s="8" t="n">
        <f aca="false">G9</f>
        <v>1347</v>
      </c>
    </row>
    <row r="10" customFormat="false" ht="12.8" hidden="false" customHeight="false" outlineLevel="0" collapsed="false">
      <c r="A10" s="1" t="s">
        <v>11</v>
      </c>
      <c r="B10" s="1" t="s">
        <v>12</v>
      </c>
      <c r="C10" s="1" t="s">
        <v>25</v>
      </c>
      <c r="D10" s="1" t="n">
        <v>10408</v>
      </c>
      <c r="E10" s="1" t="n">
        <v>2015</v>
      </c>
      <c r="F10" s="1" t="n">
        <v>11609</v>
      </c>
      <c r="G10" s="1" t="n">
        <v>4556</v>
      </c>
      <c r="H10" s="1" t="n">
        <v>7053</v>
      </c>
      <c r="I10" s="1" t="s">
        <v>17</v>
      </c>
      <c r="K10" s="8"/>
      <c r="L10" s="8" t="s">
        <v>17</v>
      </c>
      <c r="M10" s="8" t="n">
        <v>1</v>
      </c>
      <c r="N10" s="8" t="n">
        <v>1</v>
      </c>
      <c r="O10" s="8" t="n">
        <v>1</v>
      </c>
      <c r="P10" s="8" t="n">
        <f aca="false">G10</f>
        <v>4556</v>
      </c>
    </row>
    <row r="11" customFormat="false" ht="12.8" hidden="false" customHeight="false" outlineLevel="0" collapsed="false">
      <c r="A11" s="1" t="s">
        <v>11</v>
      </c>
      <c r="B11" s="1" t="s">
        <v>12</v>
      </c>
      <c r="C11" s="1" t="s">
        <v>26</v>
      </c>
      <c r="D11" s="1" t="n">
        <v>9785</v>
      </c>
      <c r="E11" s="1" t="n">
        <v>2015</v>
      </c>
      <c r="F11" s="1" t="n">
        <v>10051</v>
      </c>
      <c r="G11" s="1" t="n">
        <v>2779</v>
      </c>
      <c r="H11" s="1" t="n">
        <v>7272</v>
      </c>
      <c r="I11" s="1" t="s">
        <v>17</v>
      </c>
      <c r="K11" s="8"/>
      <c r="L11" s="8" t="s">
        <v>17</v>
      </c>
      <c r="M11" s="8" t="n">
        <v>1</v>
      </c>
      <c r="N11" s="8" t="n">
        <v>1</v>
      </c>
      <c r="O11" s="8" t="n">
        <v>1</v>
      </c>
      <c r="P11" s="8" t="n">
        <f aca="false">G11</f>
        <v>2779</v>
      </c>
    </row>
    <row r="12" customFormat="false" ht="12.8" hidden="false" customHeight="false" outlineLevel="0" collapsed="false">
      <c r="A12" s="1" t="s">
        <v>11</v>
      </c>
      <c r="B12" s="1" t="s">
        <v>12</v>
      </c>
      <c r="C12" s="1" t="s">
        <v>27</v>
      </c>
      <c r="D12" s="1" t="n">
        <v>1047</v>
      </c>
      <c r="E12" s="1" t="n">
        <v>2015</v>
      </c>
      <c r="F12" s="1" t="n">
        <v>1064</v>
      </c>
      <c r="G12" s="1" t="n">
        <v>250</v>
      </c>
      <c r="H12" s="1" t="n">
        <v>814</v>
      </c>
      <c r="I12" s="1" t="s">
        <v>17</v>
      </c>
      <c r="K12" s="8"/>
      <c r="L12" s="8" t="s">
        <v>17</v>
      </c>
      <c r="M12" s="8" t="n">
        <v>1</v>
      </c>
      <c r="N12" s="8" t="n">
        <v>1</v>
      </c>
      <c r="O12" s="8" t="n">
        <v>1</v>
      </c>
      <c r="P12" s="8" t="n">
        <f aca="false">G12</f>
        <v>250</v>
      </c>
    </row>
    <row r="13" customFormat="false" ht="12.8" hidden="false" customHeight="false" outlineLevel="0" collapsed="false">
      <c r="A13" s="1" t="s">
        <v>11</v>
      </c>
      <c r="B13" s="1" t="s">
        <v>12</v>
      </c>
      <c r="C13" s="1" t="s">
        <v>28</v>
      </c>
      <c r="D13" s="1" t="n">
        <v>2531</v>
      </c>
      <c r="E13" s="1" t="n">
        <v>2015</v>
      </c>
      <c r="F13" s="1" t="n">
        <v>2731</v>
      </c>
      <c r="G13" s="1" t="n">
        <v>1393</v>
      </c>
      <c r="H13" s="1" t="n">
        <v>1338</v>
      </c>
      <c r="I13" s="1" t="s">
        <v>14</v>
      </c>
      <c r="K13" s="8"/>
      <c r="L13" s="8" t="s">
        <v>14</v>
      </c>
      <c r="M13" s="8" t="n">
        <v>1</v>
      </c>
      <c r="N13" s="8" t="n">
        <v>1</v>
      </c>
      <c r="O13" s="8" t="n">
        <v>1</v>
      </c>
      <c r="P13" s="8" t="n">
        <f aca="false">G13</f>
        <v>1393</v>
      </c>
    </row>
    <row r="14" customFormat="false" ht="12.8" hidden="false" customHeight="false" outlineLevel="0" collapsed="false">
      <c r="A14" s="1" t="s">
        <v>11</v>
      </c>
      <c r="B14" s="1" t="s">
        <v>12</v>
      </c>
      <c r="C14" s="1" t="s">
        <v>29</v>
      </c>
      <c r="D14" s="1" t="n">
        <v>1622</v>
      </c>
      <c r="E14" s="1" t="n">
        <v>2016</v>
      </c>
      <c r="F14" s="1" t="n">
        <v>1380</v>
      </c>
      <c r="G14" s="1" t="n">
        <v>1380</v>
      </c>
      <c r="I14" s="1" t="s">
        <v>24</v>
      </c>
      <c r="K14" s="8"/>
      <c r="L14" s="8" t="s">
        <v>24</v>
      </c>
      <c r="M14" s="8" t="n">
        <v>1</v>
      </c>
      <c r="N14" s="8" t="n">
        <v>1</v>
      </c>
      <c r="O14" s="8" t="n">
        <v>1</v>
      </c>
      <c r="P14" s="8" t="n">
        <f aca="false">G14</f>
        <v>1380</v>
      </c>
    </row>
    <row r="15" customFormat="false" ht="12.8" hidden="false" customHeight="false" outlineLevel="0" collapsed="false">
      <c r="A15" s="1" t="s">
        <v>11</v>
      </c>
      <c r="B15" s="1" t="s">
        <v>12</v>
      </c>
      <c r="C15" s="1" t="s">
        <v>30</v>
      </c>
      <c r="D15" s="1" t="n">
        <v>2391</v>
      </c>
      <c r="E15" s="1" t="n">
        <v>2016</v>
      </c>
      <c r="F15" s="1" t="n">
        <v>2460</v>
      </c>
      <c r="G15" s="1" t="n">
        <v>1308</v>
      </c>
      <c r="H15" s="1" t="n">
        <v>1152</v>
      </c>
      <c r="I15" s="1" t="s">
        <v>17</v>
      </c>
      <c r="K15" s="8"/>
      <c r="L15" s="8" t="s">
        <v>17</v>
      </c>
      <c r="M15" s="8" t="n">
        <v>1</v>
      </c>
      <c r="N15" s="8" t="n">
        <v>1</v>
      </c>
      <c r="O15" s="8" t="n">
        <v>1</v>
      </c>
      <c r="P15" s="8" t="n">
        <f aca="false">G15</f>
        <v>1308</v>
      </c>
    </row>
    <row r="16" customFormat="false" ht="12.8" hidden="false" customHeight="false" outlineLevel="0" collapsed="false">
      <c r="A16" s="1" t="s">
        <v>11</v>
      </c>
      <c r="B16" s="1" t="s">
        <v>12</v>
      </c>
      <c r="C16" s="1" t="s">
        <v>31</v>
      </c>
      <c r="D16" s="1" t="n">
        <v>8216</v>
      </c>
      <c r="E16" s="1" t="n">
        <v>2016</v>
      </c>
      <c r="F16" s="1" t="n">
        <v>10043</v>
      </c>
      <c r="G16" s="1" t="n">
        <v>5737</v>
      </c>
      <c r="H16" s="1" t="n">
        <v>4306</v>
      </c>
      <c r="I16" s="1" t="s">
        <v>17</v>
      </c>
      <c r="K16" s="8"/>
      <c r="L16" s="8" t="s">
        <v>17</v>
      </c>
      <c r="M16" s="8" t="n">
        <v>1</v>
      </c>
      <c r="N16" s="8" t="n">
        <v>1</v>
      </c>
      <c r="O16" s="8" t="n">
        <v>1</v>
      </c>
      <c r="P16" s="8" t="n">
        <f aca="false">G16</f>
        <v>5737</v>
      </c>
    </row>
    <row r="17" customFormat="false" ht="12.8" hidden="false" customHeight="false" outlineLevel="0" collapsed="false">
      <c r="A17" s="1" t="s">
        <v>11</v>
      </c>
      <c r="B17" s="1" t="s">
        <v>12</v>
      </c>
      <c r="C17" s="1" t="s">
        <v>32</v>
      </c>
      <c r="D17" s="1" t="n">
        <v>3531</v>
      </c>
      <c r="E17" s="1" t="n">
        <v>2017</v>
      </c>
      <c r="F17" s="1" t="n">
        <v>4558</v>
      </c>
      <c r="G17" s="1" t="n">
        <v>2287</v>
      </c>
      <c r="H17" s="1" t="n">
        <v>2271</v>
      </c>
      <c r="I17" s="1" t="s">
        <v>17</v>
      </c>
      <c r="K17" s="8"/>
      <c r="L17" s="8" t="s">
        <v>17</v>
      </c>
      <c r="M17" s="8" t="n">
        <v>1</v>
      </c>
      <c r="N17" s="8" t="n">
        <v>1</v>
      </c>
      <c r="O17" s="8" t="n">
        <v>1</v>
      </c>
      <c r="P17" s="8" t="n">
        <f aca="false">G17</f>
        <v>2287</v>
      </c>
    </row>
    <row r="18" customFormat="false" ht="12.8" hidden="false" customHeight="false" outlineLevel="0" collapsed="false">
      <c r="A18" s="1" t="s">
        <v>11</v>
      </c>
      <c r="B18" s="1" t="s">
        <v>12</v>
      </c>
      <c r="C18" s="1" t="s">
        <v>33</v>
      </c>
      <c r="D18" s="1" t="n">
        <v>1289</v>
      </c>
      <c r="E18" s="1" t="n">
        <v>2017</v>
      </c>
      <c r="F18" s="1" t="n">
        <v>1468</v>
      </c>
      <c r="G18" s="1" t="n">
        <v>847</v>
      </c>
      <c r="H18" s="1" t="n">
        <v>621</v>
      </c>
      <c r="I18" s="1" t="s">
        <v>17</v>
      </c>
      <c r="K18" s="8"/>
      <c r="L18" s="8" t="s">
        <v>17</v>
      </c>
      <c r="M18" s="8" t="n">
        <v>1</v>
      </c>
      <c r="N18" s="8" t="n">
        <v>1</v>
      </c>
      <c r="O18" s="8" t="n">
        <v>1</v>
      </c>
      <c r="P18" s="8" t="n">
        <f aca="false">G18</f>
        <v>847</v>
      </c>
    </row>
    <row r="19" customFormat="false" ht="12.8" hidden="false" customHeight="false" outlineLevel="0" collapsed="false">
      <c r="A19" s="1" t="s">
        <v>11</v>
      </c>
      <c r="B19" s="1" t="s">
        <v>12</v>
      </c>
      <c r="C19" s="1" t="s">
        <v>34</v>
      </c>
      <c r="D19" s="1" t="n">
        <v>-898</v>
      </c>
      <c r="E19" s="1" t="n">
        <v>2017</v>
      </c>
      <c r="F19" s="1" t="n">
        <v>1145</v>
      </c>
      <c r="G19" s="1" t="n">
        <v>450</v>
      </c>
      <c r="H19" s="1" t="n">
        <v>694</v>
      </c>
      <c r="I19" s="1" t="s">
        <v>14</v>
      </c>
      <c r="J19" s="1" t="s">
        <v>35</v>
      </c>
      <c r="K19" s="8"/>
      <c r="L19" s="8" t="s">
        <v>14</v>
      </c>
      <c r="M19" s="8" t="n">
        <v>1</v>
      </c>
      <c r="N19" s="8" t="n">
        <v>1</v>
      </c>
      <c r="O19" s="8" t="n">
        <v>1</v>
      </c>
      <c r="P19" s="8" t="n">
        <f aca="false">G19</f>
        <v>450</v>
      </c>
    </row>
    <row r="20" customFormat="false" ht="12.8" hidden="false" customHeight="false" outlineLevel="0" collapsed="false">
      <c r="A20" s="1" t="s">
        <v>11</v>
      </c>
      <c r="B20" s="1" t="s">
        <v>12</v>
      </c>
      <c r="C20" s="1" t="s">
        <v>36</v>
      </c>
      <c r="D20" s="1" t="n">
        <v>2779</v>
      </c>
      <c r="E20" s="1" t="n">
        <v>2017</v>
      </c>
      <c r="F20" s="1" t="n">
        <v>2220</v>
      </c>
      <c r="G20" s="1" t="n">
        <v>2220</v>
      </c>
      <c r="I20" s="1" t="s">
        <v>17</v>
      </c>
      <c r="K20" s="8" t="s">
        <v>139</v>
      </c>
      <c r="L20" s="9" t="s">
        <v>17</v>
      </c>
      <c r="M20" s="8" t="n">
        <v>1</v>
      </c>
      <c r="N20" s="8" t="n">
        <v>1</v>
      </c>
      <c r="O20" s="8" t="n">
        <v>0.6</v>
      </c>
      <c r="P20" s="8" t="n">
        <f aca="false">G20*O20</f>
        <v>1332</v>
      </c>
    </row>
    <row r="21" customFormat="false" ht="12.8" hidden="false" customHeight="false" outlineLevel="0" collapsed="false">
      <c r="A21" s="1" t="s">
        <v>11</v>
      </c>
      <c r="B21" s="1" t="s">
        <v>12</v>
      </c>
      <c r="C21" s="1" t="s">
        <v>36</v>
      </c>
      <c r="D21" s="1" t="n">
        <v>2779</v>
      </c>
      <c r="E21" s="1" t="n">
        <v>2017</v>
      </c>
      <c r="F21" s="1" t="n">
        <v>2220</v>
      </c>
      <c r="G21" s="1" t="n">
        <v>2220</v>
      </c>
      <c r="I21" s="1" t="s">
        <v>17</v>
      </c>
      <c r="K21" s="8" t="s">
        <v>139</v>
      </c>
      <c r="L21" s="9" t="s">
        <v>14</v>
      </c>
      <c r="M21" s="8" t="n">
        <v>1</v>
      </c>
      <c r="N21" s="8" t="n">
        <v>1</v>
      </c>
      <c r="O21" s="8" t="n">
        <v>0.4</v>
      </c>
      <c r="P21" s="8" t="n">
        <f aca="false">G21*O21</f>
        <v>888</v>
      </c>
    </row>
    <row r="22" customFormat="false" ht="12.8" hidden="false" customHeight="false" outlineLevel="0" collapsed="false">
      <c r="A22" s="1" t="s">
        <v>11</v>
      </c>
      <c r="B22" s="1" t="s">
        <v>12</v>
      </c>
      <c r="C22" s="1" t="s">
        <v>37</v>
      </c>
      <c r="D22" s="1" t="n">
        <v>1924</v>
      </c>
      <c r="E22" s="1" t="n">
        <v>2017</v>
      </c>
      <c r="F22" s="1" t="n">
        <v>1609</v>
      </c>
      <c r="G22" s="1" t="n">
        <v>1609</v>
      </c>
      <c r="I22" s="1" t="s">
        <v>24</v>
      </c>
      <c r="K22" s="8"/>
      <c r="L22" s="8" t="s">
        <v>24</v>
      </c>
      <c r="M22" s="8" t="n">
        <v>1</v>
      </c>
      <c r="N22" s="8" t="n">
        <v>1</v>
      </c>
      <c r="O22" s="8" t="n">
        <v>1</v>
      </c>
      <c r="P22" s="8" t="n">
        <f aca="false">G22</f>
        <v>1609</v>
      </c>
    </row>
    <row r="23" customFormat="false" ht="12.8" hidden="false" customHeight="false" outlineLevel="0" collapsed="false">
      <c r="A23" s="1" t="s">
        <v>11</v>
      </c>
      <c r="B23" s="1" t="s">
        <v>12</v>
      </c>
      <c r="C23" s="1" t="s">
        <v>38</v>
      </c>
      <c r="D23" s="1" t="n">
        <v>1099</v>
      </c>
      <c r="E23" s="1" t="n">
        <v>2017</v>
      </c>
      <c r="F23" s="1" t="n">
        <v>1099</v>
      </c>
      <c r="G23" s="1" t="n">
        <v>1099</v>
      </c>
      <c r="H23" s="1" t="n">
        <v>0</v>
      </c>
      <c r="I23" s="1" t="s">
        <v>24</v>
      </c>
      <c r="K23" s="8"/>
      <c r="L23" s="8" t="s">
        <v>24</v>
      </c>
      <c r="M23" s="8" t="n">
        <v>1</v>
      </c>
      <c r="N23" s="8" t="n">
        <v>1</v>
      </c>
      <c r="O23" s="8" t="n">
        <v>1</v>
      </c>
      <c r="P23" s="8" t="n">
        <f aca="false">G23</f>
        <v>1099</v>
      </c>
    </row>
    <row r="24" customFormat="false" ht="12.8" hidden="false" customHeight="false" outlineLevel="0" collapsed="false">
      <c r="A24" s="1" t="s">
        <v>11</v>
      </c>
      <c r="B24" s="1" t="s">
        <v>12</v>
      </c>
      <c r="C24" s="1" t="s">
        <v>39</v>
      </c>
      <c r="D24" s="1" t="n">
        <v>1538</v>
      </c>
      <c r="E24" s="1" t="n">
        <v>2018</v>
      </c>
      <c r="F24" s="1" t="n">
        <v>1430</v>
      </c>
      <c r="G24" s="1" t="n">
        <v>1430</v>
      </c>
      <c r="H24" s="1" t="n">
        <v>0</v>
      </c>
      <c r="I24" s="1" t="s">
        <v>24</v>
      </c>
      <c r="K24" s="8"/>
      <c r="L24" s="8" t="s">
        <v>24</v>
      </c>
      <c r="M24" s="8" t="n">
        <v>1</v>
      </c>
      <c r="N24" s="8" t="n">
        <v>1</v>
      </c>
      <c r="O24" s="8" t="n">
        <v>1</v>
      </c>
      <c r="P24" s="8" t="n">
        <f aca="false">G24</f>
        <v>1430</v>
      </c>
    </row>
    <row r="25" customFormat="false" ht="12.8" hidden="false" customHeight="false" outlineLevel="0" collapsed="false">
      <c r="A25" s="1" t="s">
        <v>11</v>
      </c>
      <c r="B25" s="1" t="s">
        <v>12</v>
      </c>
      <c r="C25" s="1" t="s">
        <v>40</v>
      </c>
      <c r="D25" s="1" t="n">
        <v>5349</v>
      </c>
      <c r="E25" s="1" t="n">
        <v>2018</v>
      </c>
      <c r="F25" s="1" t="n">
        <v>5874</v>
      </c>
      <c r="G25" s="1" t="n">
        <v>4226</v>
      </c>
      <c r="H25" s="1" t="n">
        <v>1648</v>
      </c>
      <c r="I25" s="1" t="s">
        <v>24</v>
      </c>
      <c r="K25" s="8"/>
      <c r="L25" s="8" t="s">
        <v>24</v>
      </c>
      <c r="M25" s="8" t="n">
        <v>1</v>
      </c>
      <c r="N25" s="8" t="n">
        <v>1</v>
      </c>
      <c r="O25" s="8" t="n">
        <v>1</v>
      </c>
      <c r="P25" s="8" t="n">
        <f aca="false">G25</f>
        <v>4226</v>
      </c>
    </row>
    <row r="26" customFormat="false" ht="12.8" hidden="false" customHeight="false" outlineLevel="0" collapsed="false">
      <c r="A26" s="1" t="s">
        <v>11</v>
      </c>
      <c r="B26" s="1" t="s">
        <v>12</v>
      </c>
      <c r="C26" s="1" t="s">
        <v>41</v>
      </c>
      <c r="D26" s="1" t="n">
        <v>7774</v>
      </c>
      <c r="E26" s="1" t="n">
        <v>2018</v>
      </c>
      <c r="F26" s="1" t="n">
        <v>7044</v>
      </c>
      <c r="G26" s="1" t="n">
        <v>1795</v>
      </c>
      <c r="H26" s="1" t="n">
        <v>5248</v>
      </c>
      <c r="I26" s="1" t="s">
        <v>17</v>
      </c>
      <c r="K26" s="8"/>
      <c r="L26" s="8" t="s">
        <v>17</v>
      </c>
      <c r="M26" s="8" t="n">
        <v>1</v>
      </c>
      <c r="N26" s="8" t="n">
        <v>1</v>
      </c>
      <c r="O26" s="8" t="n">
        <v>1</v>
      </c>
      <c r="P26" s="8" t="n">
        <f aca="false">G26</f>
        <v>1795</v>
      </c>
    </row>
    <row r="27" customFormat="false" ht="12.8" hidden="false" customHeight="false" outlineLevel="0" collapsed="false">
      <c r="A27" s="1" t="s">
        <v>11</v>
      </c>
      <c r="B27" s="1" t="s">
        <v>12</v>
      </c>
      <c r="C27" s="1" t="s">
        <v>42</v>
      </c>
      <c r="D27" s="1" t="n">
        <v>943</v>
      </c>
      <c r="E27" s="1" t="n">
        <v>2018</v>
      </c>
      <c r="F27" s="1" t="n">
        <v>1034</v>
      </c>
      <c r="G27" s="1" t="n">
        <v>1034</v>
      </c>
      <c r="I27" s="1" t="s">
        <v>17</v>
      </c>
      <c r="K27" s="8"/>
      <c r="L27" s="8" t="s">
        <v>17</v>
      </c>
      <c r="M27" s="8" t="n">
        <v>1</v>
      </c>
      <c r="N27" s="8" t="n">
        <v>1</v>
      </c>
      <c r="O27" s="8" t="n">
        <v>1</v>
      </c>
      <c r="P27" s="8" t="n">
        <f aca="false">G27</f>
        <v>1034</v>
      </c>
    </row>
    <row r="28" customFormat="false" ht="12.8" hidden="false" customHeight="false" outlineLevel="0" collapsed="false">
      <c r="A28" s="1" t="s">
        <v>11</v>
      </c>
      <c r="B28" s="1" t="s">
        <v>12</v>
      </c>
      <c r="C28" s="1" t="s">
        <v>43</v>
      </c>
      <c r="D28" s="1" t="n">
        <v>1182</v>
      </c>
      <c r="E28" s="1" t="n">
        <v>2019</v>
      </c>
      <c r="F28" s="1" t="n">
        <v>1476</v>
      </c>
      <c r="G28" s="1" t="n">
        <v>915</v>
      </c>
      <c r="H28" s="1" t="n">
        <v>561</v>
      </c>
      <c r="I28" s="1" t="s">
        <v>17</v>
      </c>
      <c r="K28" s="8"/>
      <c r="L28" s="8" t="s">
        <v>17</v>
      </c>
      <c r="M28" s="8" t="n">
        <v>1</v>
      </c>
      <c r="N28" s="8" t="n">
        <v>1</v>
      </c>
      <c r="O28" s="8" t="n">
        <v>1</v>
      </c>
      <c r="P28" s="8" t="n">
        <f aca="false">G28</f>
        <v>915</v>
      </c>
    </row>
    <row r="29" customFormat="false" ht="12.8" hidden="false" customHeight="false" outlineLevel="0" collapsed="false">
      <c r="A29" s="1" t="s">
        <v>11</v>
      </c>
      <c r="B29" s="1" t="s">
        <v>12</v>
      </c>
      <c r="C29" s="1" t="s">
        <v>44</v>
      </c>
      <c r="D29" s="1" t="n">
        <v>3578</v>
      </c>
      <c r="E29" s="1" t="n">
        <v>2019</v>
      </c>
      <c r="F29" s="1" t="n">
        <v>3310</v>
      </c>
      <c r="G29" s="1" t="n">
        <v>3310</v>
      </c>
      <c r="I29" s="1" t="s">
        <v>17</v>
      </c>
      <c r="K29" s="8"/>
      <c r="L29" s="8" t="s">
        <v>17</v>
      </c>
      <c r="M29" s="8" t="n">
        <v>1</v>
      </c>
      <c r="N29" s="8" t="n">
        <v>1</v>
      </c>
      <c r="O29" s="8" t="n">
        <v>1</v>
      </c>
      <c r="P29" s="8" t="n">
        <f aca="false">G29</f>
        <v>3310</v>
      </c>
    </row>
    <row r="30" customFormat="false" ht="12.8" hidden="false" customHeight="false" outlineLevel="0" collapsed="false">
      <c r="A30" s="1" t="s">
        <v>11</v>
      </c>
      <c r="B30" s="1" t="s">
        <v>12</v>
      </c>
      <c r="C30" s="1" t="s">
        <v>45</v>
      </c>
      <c r="D30" s="1" t="n">
        <v>2892</v>
      </c>
      <c r="E30" s="1" t="n">
        <v>2019</v>
      </c>
      <c r="F30" s="1" t="n">
        <v>3293</v>
      </c>
      <c r="G30" s="1" t="n">
        <v>2684</v>
      </c>
      <c r="H30" s="1" t="n">
        <v>608</v>
      </c>
      <c r="I30" s="1" t="s">
        <v>24</v>
      </c>
      <c r="K30" s="8"/>
      <c r="L30" s="8" t="s">
        <v>24</v>
      </c>
      <c r="M30" s="8" t="n">
        <v>1</v>
      </c>
      <c r="N30" s="8" t="n">
        <v>1</v>
      </c>
      <c r="O30" s="8" t="n">
        <v>1</v>
      </c>
      <c r="P30" s="8" t="n">
        <f aca="false">G30</f>
        <v>2684</v>
      </c>
    </row>
    <row r="31" customFormat="false" ht="12.8" hidden="false" customHeight="false" outlineLevel="0" collapsed="false">
      <c r="A31" s="1" t="s">
        <v>11</v>
      </c>
      <c r="B31" s="1" t="s">
        <v>12</v>
      </c>
      <c r="C31" s="1" t="s">
        <v>46</v>
      </c>
      <c r="D31" s="1" t="n">
        <v>4332</v>
      </c>
      <c r="E31" s="1" t="n">
        <v>2019</v>
      </c>
      <c r="F31" s="1" t="n">
        <v>3839</v>
      </c>
      <c r="G31" s="1" t="n">
        <v>1427</v>
      </c>
      <c r="H31" s="1" t="n">
        <v>2412</v>
      </c>
      <c r="I31" s="1" t="s">
        <v>47</v>
      </c>
      <c r="K31" s="8"/>
      <c r="L31" s="8" t="s">
        <v>47</v>
      </c>
      <c r="M31" s="8" t="n">
        <v>1</v>
      </c>
      <c r="N31" s="8" t="n">
        <v>1</v>
      </c>
      <c r="O31" s="8" t="n">
        <v>1</v>
      </c>
      <c r="P31" s="8" t="n">
        <f aca="false">G31</f>
        <v>1427</v>
      </c>
    </row>
    <row r="32" customFormat="false" ht="12.8" hidden="false" customHeight="false" outlineLevel="0" collapsed="false">
      <c r="A32" s="1" t="s">
        <v>11</v>
      </c>
      <c r="B32" s="1" t="s">
        <v>12</v>
      </c>
      <c r="C32" s="1" t="s">
        <v>48</v>
      </c>
      <c r="D32" s="1" t="n">
        <v>3802</v>
      </c>
      <c r="E32" s="1" t="n">
        <v>2019</v>
      </c>
      <c r="F32" s="1" t="n">
        <v>3577</v>
      </c>
      <c r="G32" s="1" t="n">
        <v>923</v>
      </c>
      <c r="H32" s="1" t="n">
        <v>2654</v>
      </c>
      <c r="I32" s="1" t="s">
        <v>24</v>
      </c>
      <c r="K32" s="8"/>
      <c r="L32" s="8" t="s">
        <v>24</v>
      </c>
      <c r="M32" s="8" t="n">
        <v>1</v>
      </c>
      <c r="N32" s="8" t="n">
        <v>1</v>
      </c>
      <c r="O32" s="8" t="n">
        <v>1</v>
      </c>
      <c r="P32" s="8" t="n">
        <f aca="false">G32</f>
        <v>923</v>
      </c>
    </row>
    <row r="33" customFormat="false" ht="12.8" hidden="false" customHeight="false" outlineLevel="0" collapsed="false">
      <c r="A33" s="1" t="s">
        <v>11</v>
      </c>
      <c r="B33" s="1" t="s">
        <v>12</v>
      </c>
      <c r="C33" s="1" t="s">
        <v>49</v>
      </c>
      <c r="D33" s="1" t="n">
        <v>1263</v>
      </c>
      <c r="E33" s="1" t="n">
        <v>2019</v>
      </c>
      <c r="F33" s="1" t="n">
        <v>1053</v>
      </c>
      <c r="G33" s="1" t="n">
        <v>1053</v>
      </c>
      <c r="I33" s="1" t="s">
        <v>14</v>
      </c>
      <c r="K33" s="8"/>
      <c r="L33" s="8" t="s">
        <v>14</v>
      </c>
      <c r="M33" s="8" t="n">
        <v>1</v>
      </c>
      <c r="N33" s="8" t="n">
        <v>1</v>
      </c>
      <c r="O33" s="8" t="n">
        <v>1</v>
      </c>
      <c r="P33" s="8" t="n">
        <f aca="false">G33</f>
        <v>1053</v>
      </c>
    </row>
    <row r="34" customFormat="false" ht="12.8" hidden="false" customHeight="false" outlineLevel="0" collapsed="false">
      <c r="A34" s="1" t="s">
        <v>11</v>
      </c>
      <c r="B34" s="1" t="s">
        <v>12</v>
      </c>
      <c r="C34" s="1" t="s">
        <v>50</v>
      </c>
      <c r="D34" s="1" t="n">
        <v>1272</v>
      </c>
      <c r="E34" s="1" t="n">
        <v>2019</v>
      </c>
      <c r="F34" s="1" t="n">
        <v>1167</v>
      </c>
      <c r="G34" s="1" t="n">
        <v>1167</v>
      </c>
      <c r="I34" s="1" t="s">
        <v>24</v>
      </c>
      <c r="K34" s="8"/>
      <c r="L34" s="8" t="s">
        <v>24</v>
      </c>
      <c r="M34" s="8" t="n">
        <v>1</v>
      </c>
      <c r="N34" s="8" t="n">
        <v>1</v>
      </c>
      <c r="O34" s="8" t="n">
        <v>1</v>
      </c>
      <c r="P34" s="8" t="n">
        <f aca="false">G34</f>
        <v>1167</v>
      </c>
    </row>
    <row r="35" customFormat="false" ht="12.8" hidden="false" customHeight="false" outlineLevel="0" collapsed="false">
      <c r="A35" s="1" t="s">
        <v>11</v>
      </c>
      <c r="B35" s="1" t="s">
        <v>12</v>
      </c>
      <c r="C35" s="1" t="s">
        <v>51</v>
      </c>
      <c r="D35" s="1" t="n">
        <v>991</v>
      </c>
      <c r="E35" s="1" t="n">
        <v>2019</v>
      </c>
      <c r="F35" s="1" t="n">
        <v>1085</v>
      </c>
      <c r="G35" s="1" t="n">
        <v>1085</v>
      </c>
      <c r="I35" s="1" t="s">
        <v>17</v>
      </c>
      <c r="K35" s="8"/>
      <c r="L35" s="8" t="s">
        <v>17</v>
      </c>
      <c r="M35" s="8" t="n">
        <v>1</v>
      </c>
      <c r="N35" s="8" t="n">
        <v>1</v>
      </c>
      <c r="O35" s="8" t="n">
        <v>1</v>
      </c>
      <c r="P35" s="8" t="n">
        <f aca="false">G35</f>
        <v>1085</v>
      </c>
    </row>
    <row r="36" customFormat="false" ht="12.8" hidden="false" customHeight="false" outlineLevel="0" collapsed="false">
      <c r="A36" s="1" t="s">
        <v>11</v>
      </c>
      <c r="B36" s="1" t="s">
        <v>12</v>
      </c>
      <c r="C36" s="1" t="s">
        <v>52</v>
      </c>
      <c r="D36" s="1" t="n">
        <v>2467</v>
      </c>
      <c r="E36" s="1" t="n">
        <v>2019</v>
      </c>
      <c r="F36" s="1" t="n">
        <v>2080</v>
      </c>
      <c r="G36" s="1" t="n">
        <v>1310</v>
      </c>
      <c r="H36" s="1" t="n">
        <v>770</v>
      </c>
      <c r="I36" s="1" t="s">
        <v>17</v>
      </c>
      <c r="K36" s="8"/>
      <c r="L36" s="8" t="s">
        <v>17</v>
      </c>
      <c r="M36" s="8" t="n">
        <v>1</v>
      </c>
      <c r="N36" s="8" t="n">
        <v>1</v>
      </c>
      <c r="O36" s="8" t="n">
        <v>1</v>
      </c>
      <c r="P36" s="8" t="n">
        <f aca="false">G36</f>
        <v>1310</v>
      </c>
    </row>
    <row r="37" customFormat="false" ht="12.8" hidden="false" customHeight="false" outlineLevel="0" collapsed="false">
      <c r="A37" s="1" t="s">
        <v>11</v>
      </c>
      <c r="B37" s="1" t="s">
        <v>12</v>
      </c>
      <c r="C37" s="1" t="s">
        <v>53</v>
      </c>
      <c r="D37" s="1" t="n">
        <v>6680</v>
      </c>
      <c r="E37" s="1" t="n">
        <v>2019</v>
      </c>
      <c r="F37" s="1" t="n">
        <v>5468</v>
      </c>
      <c r="G37" s="1" t="n">
        <v>1356</v>
      </c>
      <c r="H37" s="1" t="n">
        <v>4111</v>
      </c>
      <c r="I37" s="1" t="s">
        <v>17</v>
      </c>
      <c r="K37" s="8"/>
      <c r="L37" s="8" t="s">
        <v>17</v>
      </c>
      <c r="M37" s="8" t="n">
        <v>1</v>
      </c>
      <c r="N37" s="8" t="n">
        <v>1</v>
      </c>
      <c r="O37" s="8" t="n">
        <v>1</v>
      </c>
      <c r="P37" s="8" t="n">
        <f aca="false">G37</f>
        <v>1356</v>
      </c>
    </row>
    <row r="38" customFormat="false" ht="12.8" hidden="false" customHeight="false" outlineLevel="0" collapsed="false">
      <c r="A38" s="1" t="s">
        <v>11</v>
      </c>
      <c r="B38" s="1" t="s">
        <v>12</v>
      </c>
      <c r="C38" s="1" t="s">
        <v>54</v>
      </c>
      <c r="D38" s="1" t="n">
        <v>1142</v>
      </c>
      <c r="E38" s="1" t="n">
        <v>2020</v>
      </c>
      <c r="F38" s="1" t="n">
        <v>1181</v>
      </c>
      <c r="G38" s="1" t="n">
        <v>1181</v>
      </c>
      <c r="I38" s="1" t="s">
        <v>17</v>
      </c>
      <c r="K38" s="8"/>
      <c r="L38" s="8" t="s">
        <v>17</v>
      </c>
      <c r="M38" s="8" t="n">
        <v>1</v>
      </c>
      <c r="N38" s="8" t="n">
        <v>1</v>
      </c>
      <c r="O38" s="8" t="n">
        <v>1</v>
      </c>
      <c r="P38" s="8" t="n">
        <f aca="false">G38</f>
        <v>1181</v>
      </c>
    </row>
    <row r="39" customFormat="false" ht="12.8" hidden="false" customHeight="false" outlineLevel="0" collapsed="false">
      <c r="A39" s="1" t="s">
        <v>11</v>
      </c>
      <c r="B39" s="1" t="s">
        <v>12</v>
      </c>
      <c r="C39" s="1" t="s">
        <v>55</v>
      </c>
      <c r="D39" s="1" t="n">
        <v>11342</v>
      </c>
      <c r="E39" s="1" t="n">
        <v>2020</v>
      </c>
      <c r="F39" s="1" t="n">
        <v>11709</v>
      </c>
      <c r="G39" s="1" t="n">
        <v>2653</v>
      </c>
      <c r="H39" s="1" t="n">
        <v>9056</v>
      </c>
      <c r="I39" s="1" t="s">
        <v>14</v>
      </c>
      <c r="K39" s="8"/>
      <c r="L39" s="8" t="s">
        <v>14</v>
      </c>
      <c r="M39" s="8" t="n">
        <v>1</v>
      </c>
      <c r="N39" s="8" t="n">
        <v>1</v>
      </c>
      <c r="O39" s="8" t="n">
        <v>1</v>
      </c>
      <c r="P39" s="8" t="n">
        <f aca="false">G39</f>
        <v>2653</v>
      </c>
    </row>
    <row r="40" customFormat="false" ht="12.8" hidden="false" customHeight="false" outlineLevel="0" collapsed="false">
      <c r="A40" s="1" t="s">
        <v>11</v>
      </c>
      <c r="B40" s="1" t="s">
        <v>12</v>
      </c>
      <c r="C40" s="1" t="s">
        <v>56</v>
      </c>
      <c r="D40" s="1" t="n">
        <v>7457</v>
      </c>
      <c r="E40" s="1" t="n">
        <v>2020</v>
      </c>
      <c r="F40" s="1" t="n">
        <v>6674</v>
      </c>
      <c r="G40" s="1" t="n">
        <v>2870</v>
      </c>
      <c r="H40" s="1" t="n">
        <v>3803</v>
      </c>
      <c r="I40" s="1" t="s">
        <v>17</v>
      </c>
      <c r="K40" s="8"/>
      <c r="L40" s="8" t="s">
        <v>17</v>
      </c>
      <c r="M40" s="8" t="n">
        <v>1</v>
      </c>
      <c r="N40" s="8" t="n">
        <v>1</v>
      </c>
      <c r="O40" s="8" t="n">
        <v>1</v>
      </c>
      <c r="P40" s="8" t="n">
        <f aca="false">G40</f>
        <v>2870</v>
      </c>
    </row>
    <row r="41" customFormat="false" ht="12.8" hidden="false" customHeight="false" outlineLevel="0" collapsed="false">
      <c r="A41" s="1" t="s">
        <v>11</v>
      </c>
      <c r="B41" s="1" t="s">
        <v>12</v>
      </c>
      <c r="C41" s="1" t="s">
        <v>57</v>
      </c>
      <c r="D41" s="1" t="n">
        <v>2728</v>
      </c>
      <c r="E41" s="1" t="n">
        <v>2020</v>
      </c>
      <c r="F41" s="1" t="n">
        <v>2244</v>
      </c>
      <c r="G41" s="1" t="n">
        <v>1225</v>
      </c>
      <c r="H41" s="1" t="n">
        <v>1019</v>
      </c>
      <c r="I41" s="1" t="s">
        <v>47</v>
      </c>
      <c r="K41" s="8"/>
      <c r="L41" s="8" t="s">
        <v>47</v>
      </c>
      <c r="M41" s="8" t="n">
        <v>1</v>
      </c>
      <c r="N41" s="8" t="n">
        <v>1</v>
      </c>
      <c r="O41" s="8" t="n">
        <v>1</v>
      </c>
      <c r="P41" s="8" t="n">
        <f aca="false">G41</f>
        <v>1225</v>
      </c>
    </row>
    <row r="42" customFormat="false" ht="12.8" hidden="false" customHeight="false" outlineLevel="0" collapsed="false">
      <c r="A42" s="1" t="s">
        <v>11</v>
      </c>
      <c r="B42" s="1" t="s">
        <v>12</v>
      </c>
      <c r="C42" s="1" t="s">
        <v>58</v>
      </c>
      <c r="D42" s="1" t="n">
        <v>3695</v>
      </c>
      <c r="E42" s="1" t="n">
        <v>2020</v>
      </c>
      <c r="F42" s="1" t="n">
        <v>5553</v>
      </c>
      <c r="G42" s="1" t="n">
        <v>3917</v>
      </c>
      <c r="H42" s="1" t="n">
        <v>1636</v>
      </c>
      <c r="I42" s="1" t="s">
        <v>14</v>
      </c>
      <c r="K42" s="8"/>
      <c r="L42" s="8" t="s">
        <v>14</v>
      </c>
      <c r="M42" s="8" t="n">
        <v>1</v>
      </c>
      <c r="N42" s="8" t="n">
        <v>1</v>
      </c>
      <c r="O42" s="8" t="n">
        <v>1</v>
      </c>
      <c r="P42" s="8" t="n">
        <f aca="false">G42</f>
        <v>3917</v>
      </c>
    </row>
    <row r="43" customFormat="false" ht="12.8" hidden="false" customHeight="false" outlineLevel="0" collapsed="false">
      <c r="A43" s="1" t="s">
        <v>11</v>
      </c>
      <c r="B43" s="1" t="s">
        <v>12</v>
      </c>
      <c r="C43" s="1" t="s">
        <v>59</v>
      </c>
      <c r="D43" s="1" t="n">
        <v>1559</v>
      </c>
      <c r="E43" s="1" t="n">
        <v>2021</v>
      </c>
      <c r="F43" s="1" t="n">
        <v>1419</v>
      </c>
      <c r="G43" s="1" t="n">
        <v>1419</v>
      </c>
      <c r="I43" s="1" t="s">
        <v>60</v>
      </c>
      <c r="K43" s="8"/>
      <c r="L43" s="8" t="s">
        <v>60</v>
      </c>
      <c r="M43" s="8" t="n">
        <v>1</v>
      </c>
      <c r="N43" s="8" t="n">
        <v>1</v>
      </c>
      <c r="O43" s="8" t="n">
        <v>1</v>
      </c>
      <c r="P43" s="8" t="n">
        <f aca="false">G43</f>
        <v>1419</v>
      </c>
    </row>
    <row r="44" customFormat="false" ht="12.8" hidden="false" customHeight="false" outlineLevel="0" collapsed="false">
      <c r="A44" s="1" t="s">
        <v>11</v>
      </c>
      <c r="B44" s="1" t="s">
        <v>12</v>
      </c>
      <c r="C44" s="1" t="s">
        <v>61</v>
      </c>
      <c r="D44" s="1" t="n">
        <v>1302</v>
      </c>
      <c r="E44" s="1" t="n">
        <v>2022</v>
      </c>
      <c r="F44" s="1" t="n">
        <v>1777</v>
      </c>
      <c r="G44" s="1" t="n">
        <v>1777</v>
      </c>
      <c r="I44" s="1" t="s">
        <v>24</v>
      </c>
      <c r="K44" s="8"/>
      <c r="L44" s="8" t="s">
        <v>24</v>
      </c>
      <c r="M44" s="8" t="n">
        <v>1</v>
      </c>
      <c r="N44" s="8" t="n">
        <v>1</v>
      </c>
      <c r="O44" s="8" t="n">
        <v>1</v>
      </c>
      <c r="P44" s="8" t="n">
        <f aca="false">G44</f>
        <v>1777</v>
      </c>
    </row>
    <row r="45" customFormat="false" ht="12.8" hidden="false" customHeight="false" outlineLevel="0" collapsed="false">
      <c r="A45" s="1" t="s">
        <v>11</v>
      </c>
      <c r="B45" s="1" t="s">
        <v>12</v>
      </c>
      <c r="C45" s="1" t="s">
        <v>62</v>
      </c>
      <c r="D45" s="1" t="n">
        <v>11185</v>
      </c>
      <c r="E45" s="1" t="n">
        <v>2022</v>
      </c>
      <c r="F45" s="1" t="n">
        <v>12177</v>
      </c>
      <c r="G45" s="1" t="n">
        <v>7772</v>
      </c>
      <c r="H45" s="1" t="n">
        <v>4405</v>
      </c>
      <c r="I45" s="1" t="s">
        <v>14</v>
      </c>
      <c r="K45" s="8"/>
      <c r="L45" s="8" t="s">
        <v>14</v>
      </c>
      <c r="M45" s="8" t="n">
        <v>1</v>
      </c>
      <c r="N45" s="8" t="n">
        <v>1</v>
      </c>
      <c r="O45" s="8" t="n">
        <v>1</v>
      </c>
      <c r="P45" s="8" t="n">
        <f aca="false">G45</f>
        <v>7772</v>
      </c>
    </row>
    <row r="46" customFormat="false" ht="12.8" hidden="false" customHeight="false" outlineLevel="0" collapsed="false">
      <c r="A46" s="1" t="s">
        <v>11</v>
      </c>
      <c r="B46" s="1" t="s">
        <v>12</v>
      </c>
      <c r="C46" s="1" t="s">
        <v>63</v>
      </c>
      <c r="D46" s="1" t="n">
        <v>4363</v>
      </c>
      <c r="E46" s="1" t="n">
        <v>2022</v>
      </c>
      <c r="F46" s="1" t="n">
        <v>3822</v>
      </c>
      <c r="G46" s="1" t="n">
        <v>1618</v>
      </c>
      <c r="H46" s="1" t="n">
        <v>2204</v>
      </c>
      <c r="I46" s="1" t="s">
        <v>17</v>
      </c>
      <c r="K46" s="8"/>
      <c r="L46" s="8" t="s">
        <v>17</v>
      </c>
      <c r="M46" s="8" t="n">
        <v>1</v>
      </c>
      <c r="N46" s="8" t="n">
        <v>1</v>
      </c>
      <c r="O46" s="8" t="n">
        <v>1</v>
      </c>
      <c r="P46" s="8" t="n">
        <f aca="false">G46</f>
        <v>1618</v>
      </c>
    </row>
    <row r="47" customFormat="false" ht="12.8" hidden="false" customHeight="false" outlineLevel="0" collapsed="false">
      <c r="A47" s="1" t="s">
        <v>11</v>
      </c>
      <c r="B47" s="1" t="s">
        <v>12</v>
      </c>
      <c r="C47" s="1" t="s">
        <v>64</v>
      </c>
      <c r="D47" s="1" t="n">
        <v>1280</v>
      </c>
      <c r="E47" s="1" t="n">
        <v>2022</v>
      </c>
      <c r="F47" s="1" t="n">
        <v>1052</v>
      </c>
      <c r="G47" s="1" t="n">
        <v>1052</v>
      </c>
      <c r="I47" s="1" t="s">
        <v>24</v>
      </c>
      <c r="K47" s="8"/>
      <c r="L47" s="8" t="s">
        <v>24</v>
      </c>
      <c r="M47" s="8" t="n">
        <v>1</v>
      </c>
      <c r="N47" s="8" t="n">
        <v>1</v>
      </c>
      <c r="O47" s="8" t="n">
        <v>1</v>
      </c>
      <c r="P47" s="8" t="n">
        <f aca="false">G47</f>
        <v>1052</v>
      </c>
    </row>
    <row r="48" customFormat="false" ht="12.8" hidden="false" customHeight="false" outlineLevel="0" collapsed="false">
      <c r="A48" s="1" t="s">
        <v>11</v>
      </c>
      <c r="B48" s="1" t="s">
        <v>12</v>
      </c>
      <c r="C48" s="1" t="s">
        <v>65</v>
      </c>
      <c r="E48" s="1" t="n">
        <v>2022</v>
      </c>
      <c r="F48" s="1" t="n">
        <v>7689</v>
      </c>
      <c r="G48" s="1" t="n">
        <v>2637</v>
      </c>
      <c r="H48" s="1" t="n">
        <v>5052</v>
      </c>
      <c r="I48" s="1" t="s">
        <v>17</v>
      </c>
      <c r="J48" s="1" t="s">
        <v>66</v>
      </c>
      <c r="K48" s="8"/>
      <c r="L48" s="8" t="s">
        <v>17</v>
      </c>
      <c r="M48" s="8" t="n">
        <v>1</v>
      </c>
      <c r="N48" s="8" t="n">
        <v>1</v>
      </c>
      <c r="O48" s="8" t="n">
        <v>1</v>
      </c>
      <c r="P48" s="8" t="n">
        <f aca="false">G48</f>
        <v>2637</v>
      </c>
    </row>
    <row r="49" customFormat="false" ht="12.8" hidden="false" customHeight="false" outlineLevel="0" collapsed="false">
      <c r="A49" s="1" t="s">
        <v>11</v>
      </c>
      <c r="B49" s="1" t="s">
        <v>12</v>
      </c>
      <c r="C49" s="1" t="s">
        <v>67</v>
      </c>
      <c r="D49" s="1" t="n">
        <v>1844</v>
      </c>
      <c r="E49" s="1" t="n">
        <v>2022</v>
      </c>
      <c r="F49" s="1" t="n">
        <v>1307</v>
      </c>
      <c r="G49" s="1" t="n">
        <v>1307</v>
      </c>
      <c r="I49" s="1" t="s">
        <v>14</v>
      </c>
      <c r="K49" s="8"/>
      <c r="L49" s="8" t="s">
        <v>14</v>
      </c>
      <c r="M49" s="8" t="n">
        <v>1</v>
      </c>
      <c r="N49" s="8" t="n">
        <v>1</v>
      </c>
      <c r="O49" s="8" t="n">
        <v>1</v>
      </c>
      <c r="P49" s="8" t="n">
        <f aca="false">G49</f>
        <v>1307</v>
      </c>
    </row>
    <row r="50" customFormat="false" ht="12.8" hidden="false" customHeight="false" outlineLevel="0" collapsed="false">
      <c r="A50" s="1" t="s">
        <v>11</v>
      </c>
      <c r="B50" s="1" t="s">
        <v>12</v>
      </c>
      <c r="C50" s="1" t="s">
        <v>68</v>
      </c>
      <c r="D50" s="1" t="n">
        <v>1318</v>
      </c>
      <c r="E50" s="1" t="n">
        <v>2023</v>
      </c>
      <c r="F50" s="1" t="n">
        <v>1281</v>
      </c>
      <c r="G50" s="1" t="n">
        <v>1281</v>
      </c>
      <c r="I50" s="1" t="s">
        <v>14</v>
      </c>
      <c r="K50" s="8"/>
      <c r="L50" s="8" t="s">
        <v>14</v>
      </c>
      <c r="M50" s="8" t="n">
        <v>1</v>
      </c>
      <c r="N50" s="8" t="n">
        <v>1</v>
      </c>
      <c r="O50" s="8" t="n">
        <v>1</v>
      </c>
      <c r="P50" s="8" t="n">
        <f aca="false">G50</f>
        <v>1281</v>
      </c>
    </row>
    <row r="51" customFormat="false" ht="12.8" hidden="false" customHeight="false" outlineLevel="0" collapsed="false">
      <c r="A51" s="1" t="s">
        <v>11</v>
      </c>
      <c r="B51" s="1" t="s">
        <v>12</v>
      </c>
      <c r="C51" s="1" t="s">
        <v>69</v>
      </c>
      <c r="D51" s="1" t="n">
        <v>1903</v>
      </c>
      <c r="E51" s="1" t="n">
        <v>2023</v>
      </c>
      <c r="F51" s="1" t="n">
        <v>1880</v>
      </c>
      <c r="G51" s="1" t="n">
        <v>855</v>
      </c>
      <c r="H51" s="1" t="n">
        <v>1025</v>
      </c>
      <c r="I51" s="1" t="s">
        <v>47</v>
      </c>
      <c r="K51" s="8"/>
      <c r="L51" s="8" t="s">
        <v>47</v>
      </c>
      <c r="M51" s="8" t="n">
        <v>1</v>
      </c>
      <c r="N51" s="8" t="n">
        <v>1</v>
      </c>
      <c r="O51" s="8" t="n">
        <v>1</v>
      </c>
      <c r="P51" s="8" t="n">
        <f aca="false">G51</f>
        <v>855</v>
      </c>
    </row>
    <row r="52" customFormat="false" ht="12.8" hidden="false" customHeight="false" outlineLevel="0" collapsed="false">
      <c r="A52" s="1" t="s">
        <v>11</v>
      </c>
      <c r="B52" s="1" t="s">
        <v>12</v>
      </c>
      <c r="C52" s="1" t="s">
        <v>70</v>
      </c>
      <c r="D52" s="1" t="n">
        <v>1413</v>
      </c>
      <c r="E52" s="1" t="n">
        <v>2024</v>
      </c>
      <c r="F52" s="1" t="n">
        <v>1417</v>
      </c>
      <c r="G52" s="1" t="n">
        <v>1417</v>
      </c>
      <c r="I52" s="1" t="s">
        <v>14</v>
      </c>
      <c r="K52" s="8"/>
      <c r="L52" s="8" t="s">
        <v>14</v>
      </c>
      <c r="M52" s="8" t="n">
        <v>1</v>
      </c>
      <c r="N52" s="8" t="n">
        <v>1</v>
      </c>
      <c r="O52" s="8" t="n">
        <v>1</v>
      </c>
      <c r="P52" s="8" t="n">
        <f aca="false">G52</f>
        <v>1417</v>
      </c>
    </row>
    <row r="53" customFormat="false" ht="12.8" hidden="false" customHeight="false" outlineLevel="0" collapsed="false">
      <c r="A53" s="1" t="s">
        <v>11</v>
      </c>
      <c r="B53" s="1" t="s">
        <v>12</v>
      </c>
      <c r="C53" s="1" t="s">
        <v>71</v>
      </c>
      <c r="D53" s="1" t="n">
        <v>1607</v>
      </c>
      <c r="E53" s="1" t="n">
        <v>2024</v>
      </c>
      <c r="F53" s="1" t="n">
        <v>1184</v>
      </c>
      <c r="G53" s="1" t="n">
        <v>1184</v>
      </c>
      <c r="I53" s="1" t="s">
        <v>14</v>
      </c>
      <c r="K53" s="8"/>
      <c r="L53" s="8" t="s">
        <v>14</v>
      </c>
      <c r="M53" s="8" t="n">
        <v>1</v>
      </c>
      <c r="N53" s="8" t="n">
        <v>1</v>
      </c>
      <c r="O53" s="8" t="n">
        <v>1</v>
      </c>
      <c r="P53" s="8" t="n">
        <f aca="false">G53</f>
        <v>1184</v>
      </c>
    </row>
    <row r="54" customFormat="false" ht="12.8" hidden="false" customHeight="false" outlineLevel="0" collapsed="false">
      <c r="A54" s="1" t="s">
        <v>11</v>
      </c>
      <c r="B54" s="1" t="s">
        <v>12</v>
      </c>
      <c r="C54" s="1" t="s">
        <v>72</v>
      </c>
      <c r="D54" s="1" t="n">
        <v>1957</v>
      </c>
      <c r="E54" s="1" t="n">
        <v>2024</v>
      </c>
      <c r="F54" s="1" t="n">
        <v>1749</v>
      </c>
      <c r="G54" s="1" t="n">
        <v>780</v>
      </c>
      <c r="H54" s="1" t="n">
        <v>969</v>
      </c>
      <c r="I54" s="1" t="s">
        <v>14</v>
      </c>
      <c r="K54" s="8"/>
      <c r="L54" s="8" t="s">
        <v>14</v>
      </c>
      <c r="M54" s="8" t="n">
        <v>1</v>
      </c>
      <c r="N54" s="8" t="n">
        <v>1</v>
      </c>
      <c r="O54" s="8" t="n">
        <v>1</v>
      </c>
      <c r="P54" s="8" t="n">
        <f aca="false">G54</f>
        <v>780</v>
      </c>
    </row>
    <row r="55" customFormat="false" ht="12.8" hidden="false" customHeight="false" outlineLevel="0" collapsed="false">
      <c r="A55" s="1" t="s">
        <v>11</v>
      </c>
      <c r="B55" s="1" t="s">
        <v>12</v>
      </c>
      <c r="C55" s="1" t="s">
        <v>73</v>
      </c>
      <c r="D55" s="1" t="n">
        <v>6886</v>
      </c>
      <c r="E55" s="1" t="n">
        <v>2025</v>
      </c>
      <c r="F55" s="1" t="n">
        <v>6331</v>
      </c>
      <c r="G55" s="1" t="n">
        <v>3356</v>
      </c>
      <c r="H55" s="1" t="n">
        <v>2975</v>
      </c>
      <c r="I55" s="1" t="s">
        <v>17</v>
      </c>
      <c r="K55" s="8"/>
      <c r="L55" s="8" t="s">
        <v>17</v>
      </c>
      <c r="M55" s="8" t="n">
        <v>1</v>
      </c>
      <c r="N55" s="8" t="n">
        <v>1</v>
      </c>
      <c r="O55" s="8" t="n">
        <v>1</v>
      </c>
      <c r="P55" s="8" t="n">
        <f aca="false">G55</f>
        <v>3356</v>
      </c>
    </row>
    <row r="56" customFormat="false" ht="12.8" hidden="false" customHeight="false" outlineLevel="0" collapsed="false">
      <c r="A56" s="1" t="s">
        <v>11</v>
      </c>
      <c r="B56" s="1" t="s">
        <v>12</v>
      </c>
      <c r="C56" s="1" t="s">
        <v>74</v>
      </c>
      <c r="D56" s="1" t="n">
        <v>2950</v>
      </c>
      <c r="E56" s="1" t="n">
        <v>2025</v>
      </c>
      <c r="F56" s="1" t="n">
        <v>2681</v>
      </c>
      <c r="G56" s="1" t="n">
        <v>950</v>
      </c>
      <c r="H56" s="1" t="n">
        <v>1730</v>
      </c>
      <c r="I56" s="1" t="s">
        <v>17</v>
      </c>
      <c r="K56" s="8"/>
      <c r="L56" s="8" t="s">
        <v>17</v>
      </c>
      <c r="M56" s="8" t="n">
        <v>1</v>
      </c>
      <c r="N56" s="8" t="n">
        <v>1</v>
      </c>
      <c r="O56" s="8" t="n">
        <v>1</v>
      </c>
      <c r="P56" s="8" t="n">
        <f aca="false">G56</f>
        <v>950</v>
      </c>
    </row>
    <row r="57" customFormat="false" ht="12.8" hidden="false" customHeight="false" outlineLevel="0" collapsed="false">
      <c r="A57" s="1" t="s">
        <v>11</v>
      </c>
      <c r="B57" s="1" t="s">
        <v>12</v>
      </c>
      <c r="C57" s="1" t="s">
        <v>75</v>
      </c>
      <c r="D57" s="1" t="n">
        <v>1272</v>
      </c>
      <c r="E57" s="1" t="n">
        <v>2025</v>
      </c>
      <c r="F57" s="1" t="n">
        <v>838</v>
      </c>
      <c r="G57" s="1" t="n">
        <v>837</v>
      </c>
      <c r="I57" s="1" t="s">
        <v>14</v>
      </c>
      <c r="K57" s="8"/>
      <c r="L57" s="8" t="s">
        <v>14</v>
      </c>
      <c r="M57" s="8" t="n">
        <v>1</v>
      </c>
      <c r="N57" s="8" t="n">
        <v>1</v>
      </c>
      <c r="O57" s="8" t="n">
        <v>1</v>
      </c>
      <c r="P57" s="8" t="n">
        <f aca="false">G57</f>
        <v>837</v>
      </c>
    </row>
    <row r="58" customFormat="false" ht="12.8" hidden="false" customHeight="false" outlineLevel="0" collapsed="false">
      <c r="A58" s="1" t="s">
        <v>11</v>
      </c>
      <c r="B58" s="1" t="s">
        <v>12</v>
      </c>
      <c r="C58" s="1" t="s">
        <v>76</v>
      </c>
      <c r="D58" s="1" t="n">
        <v>6807</v>
      </c>
      <c r="E58" s="1" t="n">
        <v>2025</v>
      </c>
      <c r="F58" s="1" t="n">
        <v>7742</v>
      </c>
      <c r="G58" s="1" t="n">
        <v>6849</v>
      </c>
      <c r="H58" s="1" t="n">
        <v>893</v>
      </c>
      <c r="I58" s="1" t="s">
        <v>24</v>
      </c>
      <c r="K58" s="8"/>
      <c r="L58" s="8" t="s">
        <v>24</v>
      </c>
      <c r="M58" s="8" t="n">
        <v>1</v>
      </c>
      <c r="N58" s="8" t="n">
        <v>1</v>
      </c>
      <c r="O58" s="8" t="n">
        <v>1</v>
      </c>
      <c r="P58" s="8" t="n">
        <f aca="false">G58</f>
        <v>6849</v>
      </c>
    </row>
    <row r="59" customFormat="false" ht="12.8" hidden="false" customHeight="false" outlineLevel="0" collapsed="false">
      <c r="A59" s="1" t="s">
        <v>11</v>
      </c>
      <c r="B59" s="1" t="s">
        <v>77</v>
      </c>
      <c r="C59" s="1" t="s">
        <v>78</v>
      </c>
      <c r="D59" s="1" t="n">
        <v>3404</v>
      </c>
      <c r="E59" s="1" t="n">
        <v>2026</v>
      </c>
      <c r="G59" s="1" t="n">
        <v>3242</v>
      </c>
      <c r="I59" s="1" t="s">
        <v>47</v>
      </c>
      <c r="K59" s="8"/>
      <c r="L59" s="8" t="s">
        <v>47</v>
      </c>
      <c r="M59" s="8" t="n">
        <v>1</v>
      </c>
      <c r="N59" s="8" t="n">
        <v>1</v>
      </c>
      <c r="O59" s="8" t="n">
        <v>1</v>
      </c>
      <c r="P59" s="8" t="n">
        <f aca="false">G59</f>
        <v>3242</v>
      </c>
    </row>
    <row r="60" customFormat="false" ht="12.8" hidden="false" customHeight="false" outlineLevel="0" collapsed="false">
      <c r="A60" s="1" t="s">
        <v>11</v>
      </c>
      <c r="B60" s="1" t="s">
        <v>77</v>
      </c>
      <c r="C60" s="1" t="s">
        <v>79</v>
      </c>
      <c r="D60" s="1" t="n">
        <v>3999</v>
      </c>
      <c r="G60" s="1" t="n">
        <v>3718</v>
      </c>
      <c r="I60" s="1" t="s">
        <v>24</v>
      </c>
      <c r="K60" s="8"/>
      <c r="L60" s="8" t="s">
        <v>24</v>
      </c>
      <c r="M60" s="8" t="n">
        <v>1</v>
      </c>
      <c r="N60" s="8" t="n">
        <v>1</v>
      </c>
      <c r="O60" s="8" t="n">
        <v>1</v>
      </c>
      <c r="P60" s="8" t="n">
        <f aca="false">G60</f>
        <v>3718</v>
      </c>
    </row>
    <row r="61" customFormat="false" ht="12.8" hidden="false" customHeight="false" outlineLevel="0" collapsed="false">
      <c r="A61" s="1" t="s">
        <v>11</v>
      </c>
      <c r="B61" s="1" t="s">
        <v>77</v>
      </c>
      <c r="C61" s="1" t="s">
        <v>80</v>
      </c>
      <c r="D61" s="1" t="n">
        <v>3186</v>
      </c>
      <c r="G61" s="1" t="n">
        <v>617</v>
      </c>
      <c r="H61" s="1" t="n">
        <v>2168</v>
      </c>
      <c r="I61" s="1" t="s">
        <v>14</v>
      </c>
      <c r="K61" s="8"/>
      <c r="L61" s="8" t="s">
        <v>14</v>
      </c>
      <c r="M61" s="8" t="n">
        <v>1</v>
      </c>
      <c r="N61" s="8" t="n">
        <v>1</v>
      </c>
      <c r="O61" s="8" t="n">
        <v>1</v>
      </c>
      <c r="P61" s="8" t="n">
        <f aca="false">G61</f>
        <v>617</v>
      </c>
    </row>
    <row r="62" customFormat="false" ht="12.8" hidden="false" customHeight="false" outlineLevel="0" collapsed="false">
      <c r="A62" s="1" t="s">
        <v>11</v>
      </c>
      <c r="B62" s="1" t="s">
        <v>77</v>
      </c>
      <c r="C62" s="1" t="s">
        <v>81</v>
      </c>
      <c r="D62" s="1" t="n">
        <v>3666</v>
      </c>
      <c r="G62" s="1" t="n">
        <v>3492</v>
      </c>
      <c r="I62" s="1" t="s">
        <v>17</v>
      </c>
      <c r="J62" s="1" t="s">
        <v>82</v>
      </c>
      <c r="K62" s="8"/>
      <c r="L62" s="8" t="s">
        <v>17</v>
      </c>
      <c r="M62" s="8" t="n">
        <v>1</v>
      </c>
      <c r="N62" s="8" t="n">
        <v>1</v>
      </c>
      <c r="O62" s="8" t="n">
        <v>1</v>
      </c>
      <c r="P62" s="8" t="n">
        <f aca="false">G62</f>
        <v>3492</v>
      </c>
    </row>
    <row r="63" customFormat="false" ht="12.8" hidden="false" customHeight="false" outlineLevel="0" collapsed="false">
      <c r="A63" s="1" t="s">
        <v>11</v>
      </c>
      <c r="B63" s="1" t="s">
        <v>77</v>
      </c>
      <c r="C63" s="1" t="s">
        <v>83</v>
      </c>
      <c r="D63" s="1" t="n">
        <v>24110</v>
      </c>
      <c r="G63" s="1" t="n">
        <v>16093</v>
      </c>
      <c r="H63" s="1" t="n">
        <v>8017</v>
      </c>
      <c r="I63" s="1" t="s">
        <v>14</v>
      </c>
      <c r="J63" s="1" t="s">
        <v>84</v>
      </c>
      <c r="K63" s="8"/>
      <c r="L63" s="8" t="s">
        <v>14</v>
      </c>
      <c r="M63" s="8" t="n">
        <v>1</v>
      </c>
      <c r="N63" s="8" t="n">
        <v>1</v>
      </c>
      <c r="O63" s="8" t="n">
        <v>1</v>
      </c>
      <c r="P63" s="8" t="n">
        <f aca="false">G63</f>
        <v>16093</v>
      </c>
    </row>
    <row r="64" customFormat="false" ht="12.8" hidden="false" customHeight="false" outlineLevel="0" collapsed="false">
      <c r="A64" s="1" t="s">
        <v>11</v>
      </c>
      <c r="B64" s="1" t="s">
        <v>77</v>
      </c>
      <c r="C64" s="1" t="s">
        <v>85</v>
      </c>
      <c r="D64" s="1" t="n">
        <v>6128</v>
      </c>
      <c r="G64" s="1" t="n">
        <v>2620</v>
      </c>
      <c r="H64" s="1" t="n">
        <v>2826</v>
      </c>
      <c r="I64" s="1" t="s">
        <v>60</v>
      </c>
      <c r="K64" s="8"/>
      <c r="L64" s="8" t="s">
        <v>60</v>
      </c>
      <c r="M64" s="8" t="n">
        <v>1</v>
      </c>
      <c r="N64" s="8" t="n">
        <v>1</v>
      </c>
      <c r="O64" s="8" t="n">
        <v>1</v>
      </c>
      <c r="P64" s="8" t="n">
        <f aca="false">G64</f>
        <v>2620</v>
      </c>
    </row>
    <row r="65" customFormat="false" ht="12.8" hidden="false" customHeight="false" outlineLevel="0" collapsed="false">
      <c r="A65" s="1" t="s">
        <v>11</v>
      </c>
      <c r="B65" s="1" t="s">
        <v>77</v>
      </c>
      <c r="C65" s="1" t="s">
        <v>86</v>
      </c>
      <c r="D65" s="1" t="n">
        <v>24123</v>
      </c>
      <c r="G65" s="1" t="n">
        <v>6527</v>
      </c>
      <c r="H65" s="1" t="n">
        <v>14973</v>
      </c>
      <c r="I65" s="1" t="s">
        <v>17</v>
      </c>
      <c r="K65" s="8"/>
      <c r="L65" s="8" t="s">
        <v>17</v>
      </c>
      <c r="M65" s="8" t="n">
        <v>1</v>
      </c>
      <c r="N65" s="8" t="n">
        <v>1</v>
      </c>
      <c r="O65" s="8" t="n">
        <v>1</v>
      </c>
      <c r="P65" s="8" t="n">
        <f aca="false">G65</f>
        <v>6527</v>
      </c>
    </row>
    <row r="66" customFormat="false" ht="12.8" hidden="false" customHeight="false" outlineLevel="0" collapsed="false">
      <c r="A66" s="1" t="s">
        <v>11</v>
      </c>
      <c r="B66" s="1" t="s">
        <v>77</v>
      </c>
      <c r="C66" s="1" t="s">
        <v>87</v>
      </c>
      <c r="D66" s="1" t="n">
        <v>23498</v>
      </c>
      <c r="G66" s="1" t="n">
        <v>21893</v>
      </c>
      <c r="H66" s="1" t="n">
        <v>1605</v>
      </c>
      <c r="I66" s="1" t="s">
        <v>24</v>
      </c>
      <c r="J66" s="1" t="s">
        <v>84</v>
      </c>
      <c r="K66" s="8"/>
      <c r="L66" s="8" t="s">
        <v>24</v>
      </c>
      <c r="M66" s="8" t="n">
        <v>1</v>
      </c>
      <c r="N66" s="8" t="n">
        <v>1</v>
      </c>
      <c r="O66" s="8" t="n">
        <v>1</v>
      </c>
      <c r="P66" s="8" t="n">
        <f aca="false">G66</f>
        <v>21893</v>
      </c>
    </row>
    <row r="67" customFormat="false" ht="12.8" hidden="false" customHeight="false" outlineLevel="0" collapsed="false">
      <c r="A67" s="1" t="s">
        <v>11</v>
      </c>
      <c r="B67" s="1" t="s">
        <v>77</v>
      </c>
      <c r="C67" s="1" t="s">
        <v>88</v>
      </c>
      <c r="D67" s="1" t="n">
        <v>1304</v>
      </c>
      <c r="G67" s="1" t="n">
        <v>1215</v>
      </c>
      <c r="I67" s="1" t="s">
        <v>14</v>
      </c>
      <c r="K67" s="8"/>
      <c r="L67" s="8" t="s">
        <v>14</v>
      </c>
      <c r="M67" s="8" t="n">
        <v>1</v>
      </c>
      <c r="N67" s="8" t="n">
        <v>1</v>
      </c>
      <c r="O67" s="8" t="n">
        <v>1</v>
      </c>
      <c r="P67" s="8" t="n">
        <f aca="false">G67</f>
        <v>1215</v>
      </c>
    </row>
    <row r="68" customFormat="false" ht="12.8" hidden="false" customHeight="false" outlineLevel="0" collapsed="false">
      <c r="A68" s="1" t="s">
        <v>11</v>
      </c>
      <c r="B68" s="1" t="s">
        <v>77</v>
      </c>
      <c r="C68" s="1" t="s">
        <v>89</v>
      </c>
      <c r="D68" s="1" t="n">
        <v>1457</v>
      </c>
      <c r="G68" s="1" t="n">
        <v>22</v>
      </c>
      <c r="H68" s="1" t="n">
        <v>1229</v>
      </c>
      <c r="I68" s="1" t="s">
        <v>14</v>
      </c>
      <c r="K68" s="8"/>
      <c r="L68" s="8" t="s">
        <v>14</v>
      </c>
      <c r="M68" s="8" t="n">
        <v>1</v>
      </c>
      <c r="N68" s="8" t="n">
        <v>1</v>
      </c>
      <c r="O68" s="8" t="n">
        <v>1</v>
      </c>
      <c r="P68" s="8" t="n">
        <f aca="false">G68</f>
        <v>22</v>
      </c>
    </row>
    <row r="69" customFormat="false" ht="12.8" hidden="false" customHeight="false" outlineLevel="0" collapsed="false">
      <c r="A69" s="1" t="s">
        <v>11</v>
      </c>
      <c r="B69" s="1" t="s">
        <v>77</v>
      </c>
      <c r="C69" s="1" t="s">
        <v>90</v>
      </c>
      <c r="D69" s="1" t="n">
        <v>1608</v>
      </c>
      <c r="G69" s="1" t="n">
        <v>1506</v>
      </c>
      <c r="I69" s="1" t="s">
        <v>14</v>
      </c>
      <c r="K69" s="8"/>
      <c r="L69" s="8" t="s">
        <v>14</v>
      </c>
      <c r="M69" s="8" t="n">
        <v>1</v>
      </c>
      <c r="N69" s="8" t="n">
        <v>1</v>
      </c>
      <c r="O69" s="8" t="n">
        <v>1</v>
      </c>
      <c r="P69" s="8" t="n">
        <f aca="false">G69</f>
        <v>1506</v>
      </c>
    </row>
    <row r="70" customFormat="false" ht="12.8" hidden="false" customHeight="false" outlineLevel="0" collapsed="false">
      <c r="A70" s="1" t="s">
        <v>11</v>
      </c>
      <c r="B70" s="1" t="s">
        <v>77</v>
      </c>
      <c r="C70" s="1" t="s">
        <v>91</v>
      </c>
      <c r="D70" s="1" t="n">
        <v>2103</v>
      </c>
      <c r="G70" s="1" t="n">
        <v>1874</v>
      </c>
      <c r="I70" s="1" t="s">
        <v>24</v>
      </c>
      <c r="K70" s="8"/>
      <c r="L70" s="8" t="s">
        <v>24</v>
      </c>
      <c r="M70" s="8" t="n">
        <v>1</v>
      </c>
      <c r="N70" s="8" t="n">
        <v>1</v>
      </c>
      <c r="O70" s="8" t="n">
        <v>1</v>
      </c>
      <c r="P70" s="8" t="n">
        <f aca="false">G70</f>
        <v>1874</v>
      </c>
    </row>
    <row r="71" customFormat="false" ht="12.8" hidden="false" customHeight="false" outlineLevel="0" collapsed="false">
      <c r="A71" s="1" t="s">
        <v>11</v>
      </c>
      <c r="B71" s="1" t="s">
        <v>77</v>
      </c>
      <c r="C71" s="1" t="s">
        <v>92</v>
      </c>
      <c r="D71" s="1" t="n">
        <v>5018</v>
      </c>
      <c r="G71" s="1" t="n">
        <v>4140</v>
      </c>
      <c r="H71" s="1" t="n">
        <v>703</v>
      </c>
      <c r="I71" s="1" t="s">
        <v>14</v>
      </c>
      <c r="K71" s="8"/>
      <c r="L71" s="8" t="s">
        <v>14</v>
      </c>
      <c r="M71" s="8" t="n">
        <v>1</v>
      </c>
      <c r="N71" s="8" t="n">
        <v>1</v>
      </c>
      <c r="O71" s="8" t="n">
        <v>1</v>
      </c>
      <c r="P71" s="8" t="n">
        <f aca="false">G71</f>
        <v>4140</v>
      </c>
    </row>
    <row r="72" customFormat="false" ht="12.8" hidden="false" customHeight="false" outlineLevel="0" collapsed="false">
      <c r="A72" s="1" t="s">
        <v>11</v>
      </c>
      <c r="B72" s="1" t="s">
        <v>77</v>
      </c>
      <c r="C72" s="1" t="s">
        <v>93</v>
      </c>
      <c r="D72" s="1" t="n">
        <v>2958</v>
      </c>
      <c r="G72" s="1" t="n">
        <v>2671</v>
      </c>
      <c r="I72" s="1" t="s">
        <v>14</v>
      </c>
      <c r="K72" s="8"/>
      <c r="L72" s="8" t="s">
        <v>14</v>
      </c>
      <c r="M72" s="8" t="n">
        <v>1</v>
      </c>
      <c r="N72" s="8" t="n">
        <v>1</v>
      </c>
      <c r="O72" s="8" t="n">
        <v>1</v>
      </c>
      <c r="P72" s="8" t="n">
        <f aca="false">G72</f>
        <v>2671</v>
      </c>
    </row>
    <row r="73" customFormat="false" ht="12.8" hidden="false" customHeight="false" outlineLevel="0" collapsed="false">
      <c r="A73" s="1" t="s">
        <v>11</v>
      </c>
      <c r="B73" s="1" t="s">
        <v>77</v>
      </c>
      <c r="C73" s="1" t="s">
        <v>94</v>
      </c>
      <c r="D73" s="1" t="n">
        <v>7421</v>
      </c>
      <c r="G73" s="1" t="n">
        <v>7205</v>
      </c>
      <c r="I73" s="1" t="s">
        <v>24</v>
      </c>
      <c r="K73" s="8"/>
      <c r="L73" s="8" t="s">
        <v>24</v>
      </c>
      <c r="M73" s="8" t="n">
        <v>1</v>
      </c>
      <c r="N73" s="8" t="n">
        <v>1</v>
      </c>
      <c r="O73" s="8" t="n">
        <v>1</v>
      </c>
      <c r="P73" s="8" t="n">
        <f aca="false">G73</f>
        <v>7205</v>
      </c>
    </row>
    <row r="74" customFormat="false" ht="12.8" hidden="false" customHeight="false" outlineLevel="0" collapsed="false">
      <c r="A74" s="1" t="s">
        <v>11</v>
      </c>
      <c r="B74" s="1" t="s">
        <v>77</v>
      </c>
      <c r="C74" s="1" t="s">
        <v>95</v>
      </c>
      <c r="D74" s="1" t="n">
        <v>28171</v>
      </c>
      <c r="G74" s="1" t="n">
        <v>11334</v>
      </c>
      <c r="H74" s="1" t="n">
        <v>16965</v>
      </c>
      <c r="I74" s="1" t="s">
        <v>14</v>
      </c>
      <c r="K74" s="8"/>
      <c r="L74" s="8" t="s">
        <v>14</v>
      </c>
      <c r="M74" s="8" t="n">
        <v>1</v>
      </c>
      <c r="N74" s="8" t="n">
        <v>1</v>
      </c>
      <c r="O74" s="8" t="n">
        <v>1</v>
      </c>
      <c r="P74" s="8" t="n">
        <f aca="false">G74</f>
        <v>11334</v>
      </c>
    </row>
    <row r="75" customFormat="false" ht="12.8" hidden="false" customHeight="false" outlineLevel="0" collapsed="false">
      <c r="A75" s="1" t="s">
        <v>11</v>
      </c>
      <c r="B75" s="1" t="s">
        <v>77</v>
      </c>
      <c r="C75" s="1" t="s">
        <v>96</v>
      </c>
      <c r="D75" s="1" t="n">
        <v>8104</v>
      </c>
      <c r="G75" s="1" t="n">
        <v>2713</v>
      </c>
      <c r="H75" s="1" t="n">
        <v>5374</v>
      </c>
      <c r="I75" s="1" t="s">
        <v>17</v>
      </c>
      <c r="K75" s="8"/>
      <c r="L75" s="8" t="s">
        <v>17</v>
      </c>
      <c r="M75" s="8" t="n">
        <v>1</v>
      </c>
      <c r="N75" s="8" t="n">
        <v>1</v>
      </c>
      <c r="O75" s="8" t="n">
        <v>1</v>
      </c>
      <c r="P75" s="8" t="n">
        <f aca="false">G75</f>
        <v>2713</v>
      </c>
    </row>
    <row r="76" customFormat="false" ht="12.8" hidden="false" customHeight="false" outlineLevel="0" collapsed="false">
      <c r="A76" s="1" t="s">
        <v>11</v>
      </c>
      <c r="B76" s="1" t="s">
        <v>77</v>
      </c>
      <c r="C76" s="1" t="s">
        <v>97</v>
      </c>
      <c r="D76" s="1" t="n">
        <v>50373</v>
      </c>
      <c r="G76" s="1" t="n">
        <v>37749</v>
      </c>
      <c r="H76" s="1" t="n">
        <v>4303</v>
      </c>
      <c r="I76" s="1" t="s">
        <v>14</v>
      </c>
      <c r="K76" s="8"/>
      <c r="L76" s="8" t="s">
        <v>14</v>
      </c>
      <c r="M76" s="8" t="n">
        <v>1</v>
      </c>
      <c r="N76" s="8" t="n">
        <v>1</v>
      </c>
      <c r="O76" s="8" t="n">
        <v>1</v>
      </c>
      <c r="P76" s="8" t="n">
        <f aca="false">G76</f>
        <v>37749</v>
      </c>
    </row>
    <row r="77" customFormat="false" ht="12.8" hidden="false" customHeight="false" outlineLevel="0" collapsed="false">
      <c r="A77" s="1" t="s">
        <v>98</v>
      </c>
      <c r="B77" s="1" t="s">
        <v>12</v>
      </c>
      <c r="C77" s="1" t="s">
        <v>99</v>
      </c>
      <c r="D77" s="1" t="n">
        <v>8942</v>
      </c>
      <c r="E77" s="1" t="n">
        <v>2019</v>
      </c>
      <c r="H77" s="1" t="n">
        <v>2709</v>
      </c>
      <c r="I77" s="1" t="s">
        <v>60</v>
      </c>
      <c r="J77" s="1" t="s">
        <v>100</v>
      </c>
      <c r="K77" s="8"/>
      <c r="L77" s="8" t="s">
        <v>60</v>
      </c>
      <c r="M77" s="8" t="n">
        <v>1</v>
      </c>
      <c r="N77" s="8" t="n">
        <v>1</v>
      </c>
      <c r="O77" s="8" t="n">
        <v>1</v>
      </c>
      <c r="P77" s="10" t="n">
        <f aca="false">D77-H77</f>
        <v>6233</v>
      </c>
    </row>
    <row r="78" customFormat="false" ht="12.8" hidden="false" customHeight="false" outlineLevel="0" collapsed="false">
      <c r="A78" s="1" t="s">
        <v>98</v>
      </c>
      <c r="B78" s="1" t="s">
        <v>12</v>
      </c>
      <c r="C78" s="1" t="s">
        <v>101</v>
      </c>
      <c r="D78" s="1" t="n">
        <v>14468</v>
      </c>
      <c r="E78" s="1" t="n">
        <v>2020</v>
      </c>
      <c r="H78" s="1" t="n">
        <v>5784</v>
      </c>
      <c r="I78" s="1" t="s">
        <v>17</v>
      </c>
      <c r="J78" s="1" t="s">
        <v>100</v>
      </c>
      <c r="K78" s="8"/>
      <c r="L78" s="8" t="s">
        <v>17</v>
      </c>
      <c r="M78" s="8" t="n">
        <v>1</v>
      </c>
      <c r="N78" s="8" t="n">
        <v>1</v>
      </c>
      <c r="O78" s="8" t="n">
        <v>1</v>
      </c>
      <c r="P78" s="10" t="n">
        <f aca="false">D78-H78</f>
        <v>8684</v>
      </c>
    </row>
    <row r="79" customFormat="false" ht="12.8" hidden="false" customHeight="false" outlineLevel="0" collapsed="false">
      <c r="A79" s="1" t="s">
        <v>98</v>
      </c>
      <c r="B79" s="1" t="s">
        <v>12</v>
      </c>
      <c r="C79" s="1" t="s">
        <v>102</v>
      </c>
      <c r="D79" s="1" t="n">
        <v>2735</v>
      </c>
      <c r="E79" s="1" t="n">
        <v>2024</v>
      </c>
      <c r="I79" s="1" t="s">
        <v>24</v>
      </c>
      <c r="J79" s="1" t="s">
        <v>100</v>
      </c>
      <c r="K79" s="8"/>
      <c r="L79" s="8" t="s">
        <v>24</v>
      </c>
      <c r="M79" s="8" t="n">
        <v>1</v>
      </c>
      <c r="N79" s="8" t="n">
        <v>1</v>
      </c>
      <c r="O79" s="8" t="n">
        <v>1</v>
      </c>
      <c r="P79" s="10" t="n">
        <f aca="false">D79-H79</f>
        <v>2735</v>
      </c>
    </row>
    <row r="80" customFormat="false" ht="12.8" hidden="false" customHeight="false" outlineLevel="0" collapsed="false">
      <c r="A80" s="1" t="s">
        <v>98</v>
      </c>
      <c r="B80" s="1" t="s">
        <v>77</v>
      </c>
      <c r="C80" s="1" t="s">
        <v>103</v>
      </c>
      <c r="D80" s="1" t="n">
        <v>9546</v>
      </c>
      <c r="H80" s="1" t="n">
        <v>4420</v>
      </c>
      <c r="I80" s="1" t="s">
        <v>60</v>
      </c>
      <c r="J80" s="1" t="s">
        <v>104</v>
      </c>
      <c r="K80" s="11" t="s">
        <v>140</v>
      </c>
      <c r="L80" s="9" t="s">
        <v>17</v>
      </c>
      <c r="M80" s="8" t="n">
        <v>1</v>
      </c>
      <c r="N80" s="8" t="n">
        <v>1</v>
      </c>
      <c r="O80" s="8" t="n">
        <v>1</v>
      </c>
      <c r="P80" s="10" t="n">
        <f aca="false">D80-H80</f>
        <v>5126</v>
      </c>
    </row>
    <row r="81" customFormat="false" ht="12.8" hidden="false" customHeight="false" outlineLevel="0" collapsed="false">
      <c r="A81" s="1" t="s">
        <v>98</v>
      </c>
      <c r="B81" s="1" t="s">
        <v>77</v>
      </c>
      <c r="C81" s="1" t="s">
        <v>105</v>
      </c>
      <c r="D81" s="1" t="n">
        <v>33581</v>
      </c>
      <c r="H81" s="1" t="n">
        <v>11291</v>
      </c>
      <c r="I81" s="1" t="s">
        <v>60</v>
      </c>
      <c r="J81" s="1" t="s">
        <v>104</v>
      </c>
      <c r="K81" s="8"/>
      <c r="L81" s="8" t="s">
        <v>60</v>
      </c>
      <c r="M81" s="8" t="n">
        <v>1</v>
      </c>
      <c r="N81" s="8" t="n">
        <v>1</v>
      </c>
      <c r="O81" s="8" t="n">
        <v>1</v>
      </c>
      <c r="P81" s="10" t="n">
        <f aca="false">D81-H81</f>
        <v>22290</v>
      </c>
    </row>
    <row r="82" customFormat="false" ht="12.8" hidden="false" customHeight="false" outlineLevel="0" collapsed="false">
      <c r="A82" s="1" t="s">
        <v>98</v>
      </c>
      <c r="B82" s="1" t="s">
        <v>77</v>
      </c>
      <c r="C82" s="1" t="s">
        <v>106</v>
      </c>
      <c r="D82" s="1" t="n">
        <v>24607</v>
      </c>
      <c r="H82" s="1" t="n">
        <v>8428</v>
      </c>
      <c r="I82" s="1" t="s">
        <v>17</v>
      </c>
      <c r="J82" s="1" t="s">
        <v>104</v>
      </c>
      <c r="K82" s="8"/>
      <c r="L82" s="8" t="s">
        <v>17</v>
      </c>
      <c r="M82" s="8" t="n">
        <v>1</v>
      </c>
      <c r="N82" s="8" t="n">
        <v>1</v>
      </c>
      <c r="O82" s="8" t="n">
        <v>1</v>
      </c>
      <c r="P82" s="10" t="n">
        <f aca="false">D82-H82</f>
        <v>16179</v>
      </c>
    </row>
    <row r="83" customFormat="false" ht="12.8" hidden="false" customHeight="false" outlineLevel="0" collapsed="false">
      <c r="A83" s="1" t="s">
        <v>98</v>
      </c>
      <c r="B83" s="1" t="s">
        <v>77</v>
      </c>
      <c r="C83" s="1" t="s">
        <v>107</v>
      </c>
      <c r="D83" s="1" t="n">
        <v>23807</v>
      </c>
      <c r="H83" s="1" t="n">
        <v>8825</v>
      </c>
      <c r="I83" s="1" t="s">
        <v>47</v>
      </c>
      <c r="J83" s="1" t="s">
        <v>104</v>
      </c>
      <c r="K83" s="8"/>
      <c r="L83" s="8" t="s">
        <v>47</v>
      </c>
      <c r="M83" s="8" t="n">
        <v>1</v>
      </c>
      <c r="N83" s="8" t="n">
        <v>1</v>
      </c>
      <c r="O83" s="8" t="n">
        <v>1</v>
      </c>
      <c r="P83" s="10" t="n">
        <f aca="false">D83-H83</f>
        <v>14982</v>
      </c>
    </row>
    <row r="84" customFormat="false" ht="12.8" hidden="false" customHeight="false" outlineLevel="0" collapsed="false">
      <c r="A84" s="1" t="s">
        <v>98</v>
      </c>
      <c r="B84" s="1" t="s">
        <v>77</v>
      </c>
      <c r="C84" s="1" t="s">
        <v>108</v>
      </c>
      <c r="D84" s="1" t="n">
        <v>19268</v>
      </c>
      <c r="H84" s="1" t="n">
        <v>9539</v>
      </c>
      <c r="I84" s="1" t="s">
        <v>47</v>
      </c>
      <c r="J84" s="1" t="s">
        <v>104</v>
      </c>
      <c r="K84" s="8"/>
      <c r="L84" s="8" t="s">
        <v>47</v>
      </c>
      <c r="M84" s="8" t="n">
        <v>1</v>
      </c>
      <c r="N84" s="8" t="n">
        <v>1</v>
      </c>
      <c r="O84" s="8" t="n">
        <v>1</v>
      </c>
      <c r="P84" s="10" t="n">
        <f aca="false">D84-H84</f>
        <v>9729</v>
      </c>
    </row>
    <row r="85" customFormat="false" ht="12.8" hidden="false" customHeight="false" outlineLevel="0" collapsed="false">
      <c r="A85" s="1" t="s">
        <v>109</v>
      </c>
      <c r="B85" s="1" t="s">
        <v>12</v>
      </c>
      <c r="C85" s="1" t="s">
        <v>110</v>
      </c>
      <c r="D85" s="1" t="n">
        <v>5406</v>
      </c>
      <c r="E85" s="1" t="n">
        <v>2015</v>
      </c>
      <c r="F85" s="1" t="n">
        <v>4219</v>
      </c>
      <c r="I85" s="1" t="s">
        <v>17</v>
      </c>
      <c r="J85" s="1" t="s">
        <v>141</v>
      </c>
      <c r="K85" s="8" t="s">
        <v>142</v>
      </c>
      <c r="L85" s="8" t="s">
        <v>17</v>
      </c>
      <c r="M85" s="8" t="n">
        <v>1.38</v>
      </c>
      <c r="N85" s="8" t="n">
        <v>1.25</v>
      </c>
      <c r="O85" s="8" t="n">
        <v>1</v>
      </c>
      <c r="P85" s="12" t="n">
        <f aca="false">F85*M85*N85</f>
        <v>7277.775</v>
      </c>
    </row>
    <row r="86" customFormat="false" ht="12.8" hidden="false" customHeight="false" outlineLevel="0" collapsed="false">
      <c r="A86" s="1" t="s">
        <v>109</v>
      </c>
      <c r="B86" s="1" t="s">
        <v>12</v>
      </c>
      <c r="C86" s="1" t="s">
        <v>112</v>
      </c>
      <c r="D86" s="1" t="n">
        <v>6663</v>
      </c>
      <c r="E86" s="1" t="n">
        <v>2016</v>
      </c>
      <c r="F86" s="1" t="n">
        <v>6443</v>
      </c>
      <c r="I86" s="1" t="s">
        <v>17</v>
      </c>
      <c r="J86" s="1" t="s">
        <v>141</v>
      </c>
      <c r="K86" s="8" t="s">
        <v>142</v>
      </c>
      <c r="L86" s="8" t="s">
        <v>17</v>
      </c>
      <c r="M86" s="8" t="n">
        <v>1.38</v>
      </c>
      <c r="N86" s="8" t="n">
        <v>1.25</v>
      </c>
      <c r="O86" s="8" t="n">
        <v>1</v>
      </c>
      <c r="P86" s="12" t="n">
        <f aca="false">F86*M86*N86</f>
        <v>11114.175</v>
      </c>
    </row>
    <row r="87" customFormat="false" ht="12.8" hidden="false" customHeight="false" outlineLevel="0" collapsed="false">
      <c r="A87" s="1" t="s">
        <v>109</v>
      </c>
      <c r="B87" s="1" t="s">
        <v>12</v>
      </c>
      <c r="C87" s="1" t="s">
        <v>113</v>
      </c>
      <c r="D87" s="1" t="n">
        <v>7575</v>
      </c>
      <c r="E87" s="1" t="n">
        <v>2018</v>
      </c>
      <c r="F87" s="1" t="n">
        <v>7448</v>
      </c>
      <c r="I87" s="1" t="s">
        <v>17</v>
      </c>
      <c r="J87" s="1" t="s">
        <v>141</v>
      </c>
      <c r="K87" s="8" t="s">
        <v>142</v>
      </c>
      <c r="L87" s="8" t="s">
        <v>17</v>
      </c>
      <c r="M87" s="8" t="n">
        <v>1.38</v>
      </c>
      <c r="N87" s="8" t="n">
        <v>1.25</v>
      </c>
      <c r="O87" s="8" t="n">
        <v>1</v>
      </c>
      <c r="P87" s="12" t="n">
        <f aca="false">F87*M87*N87</f>
        <v>12847.8</v>
      </c>
    </row>
    <row r="88" customFormat="false" ht="12.8" hidden="false" customHeight="false" outlineLevel="0" collapsed="false">
      <c r="A88" s="1" t="s">
        <v>109</v>
      </c>
      <c r="B88" s="1" t="s">
        <v>12</v>
      </c>
      <c r="C88" s="1" t="s">
        <v>114</v>
      </c>
      <c r="D88" s="1" t="n">
        <v>37535</v>
      </c>
      <c r="E88" s="1" t="n">
        <v>2023</v>
      </c>
      <c r="F88" s="1" t="n">
        <v>37470</v>
      </c>
      <c r="I88" s="1" t="s">
        <v>17</v>
      </c>
      <c r="K88" s="8" t="s">
        <v>142</v>
      </c>
      <c r="L88" s="8" t="s">
        <v>17</v>
      </c>
      <c r="M88" s="8" t="n">
        <v>1</v>
      </c>
      <c r="N88" s="8" t="n">
        <v>1.25</v>
      </c>
      <c r="O88" s="8" t="n">
        <v>1</v>
      </c>
      <c r="P88" s="13" t="n">
        <f aca="false">F88*M88*N88</f>
        <v>46837.5</v>
      </c>
    </row>
    <row r="89" customFormat="false" ht="12.8" hidden="false" customHeight="false" outlineLevel="0" collapsed="false">
      <c r="A89" s="1" t="s">
        <v>109</v>
      </c>
      <c r="B89" s="1" t="s">
        <v>12</v>
      </c>
      <c r="C89" s="1" t="s">
        <v>115</v>
      </c>
      <c r="D89" s="1" t="n">
        <v>7898</v>
      </c>
      <c r="E89" s="1" t="n">
        <v>2024</v>
      </c>
      <c r="F89" s="1" t="n">
        <v>6202</v>
      </c>
      <c r="I89" s="1" t="s">
        <v>17</v>
      </c>
      <c r="K89" s="8" t="s">
        <v>142</v>
      </c>
      <c r="L89" s="8" t="s">
        <v>17</v>
      </c>
      <c r="M89" s="8" t="n">
        <v>1</v>
      </c>
      <c r="N89" s="8" t="n">
        <v>1.25</v>
      </c>
      <c r="O89" s="8" t="n">
        <v>1</v>
      </c>
      <c r="P89" s="13" t="n">
        <f aca="false">F89*M89*N89</f>
        <v>7752.5</v>
      </c>
    </row>
    <row r="90" customFormat="false" ht="12.8" hidden="false" customHeight="false" outlineLevel="0" collapsed="false">
      <c r="A90" s="1" t="s">
        <v>109</v>
      </c>
      <c r="B90" s="1" t="s">
        <v>12</v>
      </c>
      <c r="C90" s="1" t="s">
        <v>116</v>
      </c>
      <c r="D90" s="1" t="n">
        <v>5018</v>
      </c>
      <c r="E90" s="1" t="n">
        <v>2024</v>
      </c>
      <c r="F90" s="1" t="n">
        <v>4744</v>
      </c>
      <c r="I90" s="1" t="s">
        <v>14</v>
      </c>
      <c r="K90" s="8" t="s">
        <v>142</v>
      </c>
      <c r="L90" s="8" t="s">
        <v>14</v>
      </c>
      <c r="M90" s="8" t="n">
        <v>1</v>
      </c>
      <c r="N90" s="8" t="n">
        <v>1.25</v>
      </c>
      <c r="O90" s="8" t="n">
        <v>1</v>
      </c>
      <c r="P90" s="13" t="n">
        <f aca="false">F90*M90*N90</f>
        <v>5930</v>
      </c>
    </row>
    <row r="91" customFormat="false" ht="12.8" hidden="false" customHeight="false" outlineLevel="0" collapsed="false">
      <c r="A91" s="1" t="s">
        <v>109</v>
      </c>
      <c r="B91" s="1" t="s">
        <v>12</v>
      </c>
      <c r="C91" s="1" t="s">
        <v>117</v>
      </c>
      <c r="D91" s="1" t="n">
        <v>4910</v>
      </c>
      <c r="E91" s="1" t="n">
        <v>2024</v>
      </c>
      <c r="F91" s="1" t="n">
        <v>3136</v>
      </c>
      <c r="I91" s="1" t="s">
        <v>14</v>
      </c>
      <c r="K91" s="8" t="s">
        <v>142</v>
      </c>
      <c r="L91" s="8" t="s">
        <v>14</v>
      </c>
      <c r="M91" s="8" t="n">
        <v>1</v>
      </c>
      <c r="N91" s="8" t="n">
        <v>1.25</v>
      </c>
      <c r="O91" s="8" t="n">
        <v>1</v>
      </c>
      <c r="P91" s="13" t="n">
        <f aca="false">F91*M91*N91</f>
        <v>3920</v>
      </c>
    </row>
    <row r="92" customFormat="false" ht="12.8" hidden="false" customHeight="false" outlineLevel="0" collapsed="false">
      <c r="A92" s="1" t="s">
        <v>109</v>
      </c>
      <c r="B92" s="1" t="s">
        <v>12</v>
      </c>
      <c r="C92" s="1" t="s">
        <v>118</v>
      </c>
      <c r="D92" s="1" t="n">
        <v>2727</v>
      </c>
      <c r="E92" s="1" t="n">
        <v>2025</v>
      </c>
      <c r="F92" s="1" t="n">
        <v>2394</v>
      </c>
      <c r="I92" s="1" t="s">
        <v>47</v>
      </c>
      <c r="K92" s="8" t="s">
        <v>142</v>
      </c>
      <c r="L92" s="8" t="s">
        <v>47</v>
      </c>
      <c r="M92" s="8" t="n">
        <v>1</v>
      </c>
      <c r="N92" s="8" t="n">
        <v>1.25</v>
      </c>
      <c r="O92" s="8" t="n">
        <v>1</v>
      </c>
      <c r="P92" s="13" t="n">
        <f aca="false">F92*M92*N92</f>
        <v>2992.5</v>
      </c>
    </row>
    <row r="93" customFormat="false" ht="12.8" hidden="false" customHeight="false" outlineLevel="0" collapsed="false">
      <c r="A93" s="1" t="s">
        <v>109</v>
      </c>
      <c r="B93" s="1" t="s">
        <v>12</v>
      </c>
      <c r="C93" s="1" t="s">
        <v>119</v>
      </c>
      <c r="D93" s="1" t="n">
        <v>18087</v>
      </c>
      <c r="E93" s="1" t="n">
        <v>2025</v>
      </c>
      <c r="F93" s="1" t="n">
        <v>13095</v>
      </c>
      <c r="I93" s="1" t="s">
        <v>17</v>
      </c>
      <c r="K93" s="8" t="s">
        <v>142</v>
      </c>
      <c r="L93" s="8" t="s">
        <v>17</v>
      </c>
      <c r="M93" s="8" t="n">
        <v>1</v>
      </c>
      <c r="N93" s="8" t="n">
        <v>1.25</v>
      </c>
      <c r="O93" s="8" t="n">
        <v>1</v>
      </c>
      <c r="P93" s="13" t="n">
        <f aca="false">F93*M93*N93</f>
        <v>16368.75</v>
      </c>
    </row>
    <row r="94" customFormat="false" ht="12.8" hidden="false" customHeight="false" outlineLevel="0" collapsed="false">
      <c r="A94" s="1" t="s">
        <v>109</v>
      </c>
      <c r="B94" s="1" t="s">
        <v>77</v>
      </c>
      <c r="C94" s="1" t="s">
        <v>120</v>
      </c>
      <c r="D94" s="1" t="n">
        <v>38220</v>
      </c>
      <c r="I94" s="1" t="s">
        <v>121</v>
      </c>
      <c r="K94" s="11" t="s">
        <v>121</v>
      </c>
      <c r="L94" s="8" t="s">
        <v>121</v>
      </c>
      <c r="M94" s="8" t="n">
        <v>1</v>
      </c>
      <c r="N94" s="8" t="n">
        <v>1.25</v>
      </c>
      <c r="O94" s="8" t="n">
        <v>1</v>
      </c>
      <c r="P94" s="14" t="n">
        <f aca="false">D94*M94*N94</f>
        <v>47775</v>
      </c>
    </row>
    <row r="95" customFormat="false" ht="12.8" hidden="false" customHeight="false" outlineLevel="0" collapsed="false">
      <c r="A95" s="1" t="s">
        <v>109</v>
      </c>
      <c r="B95" s="1" t="s">
        <v>77</v>
      </c>
      <c r="C95" s="1" t="s">
        <v>122</v>
      </c>
      <c r="D95" s="1" t="n">
        <v>1600</v>
      </c>
      <c r="I95" s="1" t="s">
        <v>17</v>
      </c>
      <c r="J95" s="1" t="s">
        <v>123</v>
      </c>
      <c r="K95" s="8" t="s">
        <v>142</v>
      </c>
      <c r="L95" s="8" t="s">
        <v>17</v>
      </c>
      <c r="M95" s="8" t="n">
        <v>1</v>
      </c>
      <c r="N95" s="8" t="n">
        <v>1.25</v>
      </c>
      <c r="O95" s="8" t="n">
        <v>1</v>
      </c>
      <c r="P95" s="15" t="n">
        <f aca="false">D95*M95*N95</f>
        <v>2000</v>
      </c>
    </row>
    <row r="96" customFormat="false" ht="12.8" hidden="false" customHeight="false" outlineLevel="0" collapsed="false">
      <c r="A96" s="1" t="s">
        <v>109</v>
      </c>
      <c r="B96" s="1" t="s">
        <v>77</v>
      </c>
      <c r="C96" s="1" t="s">
        <v>124</v>
      </c>
      <c r="D96" s="1" t="n">
        <v>28519</v>
      </c>
      <c r="I96" s="1" t="s">
        <v>17</v>
      </c>
      <c r="K96" s="8" t="s">
        <v>142</v>
      </c>
      <c r="L96" s="8" t="s">
        <v>17</v>
      </c>
      <c r="M96" s="8" t="n">
        <v>1</v>
      </c>
      <c r="N96" s="8" t="n">
        <v>1.25</v>
      </c>
      <c r="O96" s="8" t="n">
        <v>1</v>
      </c>
      <c r="P96" s="15" t="n">
        <f aca="false">D96*M96*N96</f>
        <v>35648.75</v>
      </c>
    </row>
    <row r="97" customFormat="false" ht="12.8" hidden="false" customHeight="false" outlineLevel="0" collapsed="false">
      <c r="A97" s="1" t="s">
        <v>109</v>
      </c>
      <c r="B97" s="1" t="s">
        <v>77</v>
      </c>
      <c r="C97" s="1" t="s">
        <v>125</v>
      </c>
      <c r="D97" s="1" t="n">
        <v>11190</v>
      </c>
      <c r="I97" s="1" t="s">
        <v>17</v>
      </c>
      <c r="K97" s="8" t="s">
        <v>142</v>
      </c>
      <c r="L97" s="8" t="s">
        <v>17</v>
      </c>
      <c r="M97" s="8" t="n">
        <v>1</v>
      </c>
      <c r="N97" s="8" t="n">
        <v>1.25</v>
      </c>
      <c r="O97" s="8" t="n">
        <v>1</v>
      </c>
      <c r="P97" s="15" t="n">
        <f aca="false">D97*M97*N97</f>
        <v>13987.5</v>
      </c>
    </row>
    <row r="98" customFormat="false" ht="12.8" hidden="false" customHeight="false" outlineLevel="0" collapsed="false">
      <c r="A98" s="1" t="s">
        <v>109</v>
      </c>
      <c r="B98" s="1" t="s">
        <v>77</v>
      </c>
      <c r="C98" s="1" t="s">
        <v>126</v>
      </c>
      <c r="D98" s="1" t="n">
        <v>9659</v>
      </c>
      <c r="I98" s="1" t="s">
        <v>17</v>
      </c>
      <c r="K98" s="8" t="s">
        <v>142</v>
      </c>
      <c r="L98" s="8" t="s">
        <v>17</v>
      </c>
      <c r="M98" s="8" t="n">
        <v>1</v>
      </c>
      <c r="N98" s="8" t="n">
        <v>1.25</v>
      </c>
      <c r="O98" s="8" t="n">
        <v>1</v>
      </c>
      <c r="P98" s="15" t="n">
        <f aca="false">D98*M98*N98</f>
        <v>12073.75</v>
      </c>
    </row>
    <row r="99" customFormat="false" ht="12.8" hidden="false" customHeight="false" outlineLevel="0" collapsed="false">
      <c r="A99" s="1" t="s">
        <v>109</v>
      </c>
      <c r="B99" s="1" t="s">
        <v>77</v>
      </c>
      <c r="C99" s="1" t="s">
        <v>127</v>
      </c>
      <c r="D99" s="1" t="n">
        <v>1984</v>
      </c>
      <c r="I99" s="1" t="s">
        <v>17</v>
      </c>
      <c r="K99" s="8" t="s">
        <v>142</v>
      </c>
      <c r="L99" s="8" t="s">
        <v>17</v>
      </c>
      <c r="M99" s="8" t="n">
        <v>1</v>
      </c>
      <c r="N99" s="8" t="n">
        <v>1.25</v>
      </c>
      <c r="O99" s="8" t="n">
        <v>1</v>
      </c>
      <c r="P99" s="15" t="n">
        <f aca="false">D99*M99*N99</f>
        <v>2480</v>
      </c>
    </row>
    <row r="100" customFormat="false" ht="12.8" hidden="false" customHeight="false" outlineLevel="0" collapsed="false">
      <c r="A100" s="1" t="s">
        <v>109</v>
      </c>
      <c r="B100" s="1" t="s">
        <v>77</v>
      </c>
      <c r="C100" s="1" t="s">
        <v>128</v>
      </c>
      <c r="D100" s="1" t="n">
        <v>9069</v>
      </c>
      <c r="I100" s="1" t="s">
        <v>17</v>
      </c>
      <c r="K100" s="8" t="s">
        <v>142</v>
      </c>
      <c r="L100" s="8" t="s">
        <v>17</v>
      </c>
      <c r="M100" s="8" t="n">
        <v>1</v>
      </c>
      <c r="N100" s="8" t="n">
        <v>1.25</v>
      </c>
      <c r="O100" s="8" t="n">
        <v>1</v>
      </c>
      <c r="P100" s="15" t="n">
        <f aca="false">D100*M100*N100</f>
        <v>11336.25</v>
      </c>
    </row>
    <row r="101" customFormat="false" ht="12.8" hidden="false" customHeight="false" outlineLevel="0" collapsed="false">
      <c r="A101" s="1" t="s">
        <v>129</v>
      </c>
      <c r="B101" s="1" t="s">
        <v>77</v>
      </c>
      <c r="C101" s="1" t="s">
        <v>130</v>
      </c>
      <c r="D101" s="1" t="n">
        <v>5112</v>
      </c>
      <c r="G101" s="1" t="n">
        <v>3902</v>
      </c>
      <c r="H101" s="1" t="n">
        <v>1210</v>
      </c>
      <c r="I101" s="1" t="s">
        <v>24</v>
      </c>
      <c r="K101" s="8"/>
      <c r="L101" s="8" t="s">
        <v>24</v>
      </c>
      <c r="M101" s="8" t="n">
        <v>1</v>
      </c>
      <c r="N101" s="8" t="n">
        <v>1</v>
      </c>
      <c r="O101" s="8" t="n">
        <v>1</v>
      </c>
      <c r="P101" s="8" t="n">
        <f aca="false">G101</f>
        <v>3902</v>
      </c>
    </row>
    <row r="102" customFormat="false" ht="12.8" hidden="false" customHeight="false" outlineLevel="0" collapsed="false">
      <c r="A102" s="1" t="s">
        <v>129</v>
      </c>
      <c r="B102" s="1" t="s">
        <v>77</v>
      </c>
      <c r="C102" s="1" t="s">
        <v>131</v>
      </c>
      <c r="D102" s="1" t="n">
        <v>8108</v>
      </c>
      <c r="G102" s="1" t="n">
        <v>4917</v>
      </c>
      <c r="H102" s="1" t="n">
        <v>3191</v>
      </c>
      <c r="I102" s="1" t="s">
        <v>24</v>
      </c>
      <c r="K102" s="8"/>
      <c r="L102" s="8" t="s">
        <v>24</v>
      </c>
      <c r="M102" s="8" t="n">
        <v>1</v>
      </c>
      <c r="N102" s="8" t="n">
        <v>1</v>
      </c>
      <c r="O102" s="8" t="n">
        <v>1</v>
      </c>
      <c r="P102" s="8" t="n">
        <f aca="false">G102</f>
        <v>4917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L5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9" activeCellId="0" sqref="B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3"/>
    <col collapsed="false" customWidth="true" hidden="false" outlineLevel="0" max="3" min="3" style="1" width="16.57"/>
    <col collapsed="false" customWidth="true" hidden="false" outlineLevel="0" max="5" min="5" style="1" width="20.61"/>
  </cols>
  <sheetData>
    <row r="4" customFormat="false" ht="13.8" hidden="false" customHeight="false" outlineLevel="0" collapsed="false">
      <c r="A4" s="16" t="s">
        <v>143</v>
      </c>
    </row>
    <row r="5" customFormat="false" ht="13.8" hidden="false" customHeight="false" outlineLevel="0" collapsed="false">
      <c r="A5" s="17" t="s">
        <v>17</v>
      </c>
      <c r="B5" s="1" t="n">
        <v>2870000</v>
      </c>
    </row>
    <row r="6" customFormat="false" ht="13.8" hidden="false" customHeight="false" outlineLevel="0" collapsed="false">
      <c r="A6" s="17" t="s">
        <v>14</v>
      </c>
      <c r="B6" s="1" t="n">
        <v>1420000</v>
      </c>
      <c r="C6" s="18"/>
    </row>
    <row r="7" customFormat="false" ht="13.8" hidden="false" customHeight="false" outlineLevel="0" collapsed="false">
      <c r="A7" s="17" t="s">
        <v>24</v>
      </c>
      <c r="B7" s="1" t="n">
        <v>480000</v>
      </c>
      <c r="C7" s="19"/>
    </row>
    <row r="8" customFormat="false" ht="13.8" hidden="false" customHeight="false" outlineLevel="0" collapsed="false">
      <c r="A8" s="17" t="s">
        <v>60</v>
      </c>
      <c r="B8" s="1" t="n">
        <v>320000</v>
      </c>
    </row>
    <row r="9" customFormat="false" ht="13.8" hidden="false" customHeight="false" outlineLevel="0" collapsed="false">
      <c r="A9" s="17" t="s">
        <v>47</v>
      </c>
      <c r="B9" s="1" t="n">
        <v>480000</v>
      </c>
    </row>
    <row r="10" customFormat="false" ht="13.8" hidden="false" customHeight="false" outlineLevel="0" collapsed="false">
      <c r="A10" s="16" t="s">
        <v>144</v>
      </c>
      <c r="B10" s="1" t="n">
        <f aca="false">SUM(B5:B9)</f>
        <v>5570000</v>
      </c>
    </row>
    <row r="15" customFormat="false" ht="13.8" hidden="false" customHeight="false" outlineLevel="0" collapsed="false">
      <c r="A15" s="16"/>
    </row>
    <row r="16" customFormat="false" ht="13.8" hidden="false" customHeight="false" outlineLevel="0" collapsed="false">
      <c r="A16" s="16" t="s">
        <v>145</v>
      </c>
    </row>
    <row r="17" customFormat="false" ht="13.8" hidden="false" customHeight="false" outlineLevel="0" collapsed="false">
      <c r="A17" s="16" t="s">
        <v>146</v>
      </c>
      <c r="B17" s="20" t="s">
        <v>147</v>
      </c>
      <c r="C17" s="16" t="s">
        <v>148</v>
      </c>
      <c r="D17" s="16" t="s">
        <v>149</v>
      </c>
      <c r="E17" s="16" t="s">
        <v>150</v>
      </c>
    </row>
    <row r="18" customFormat="false" ht="13.8" hidden="false" customHeight="false" outlineLevel="0" collapsed="false">
      <c r="A18" s="17" t="s">
        <v>17</v>
      </c>
      <c r="B18" s="21" t="n">
        <f aca="false">COUNTIFS(prosjekter!I$2:I$101,"Østlandet",prosjekter!B$2:B$101,"Ferdig")+2</f>
        <v>34</v>
      </c>
      <c r="C18" s="22" t="n">
        <f aca="false">SUMIFS(prosjekter!K$2:K$101,prosjekter!I$2:I$101,"Østlandet",prosjekter!B$2:B$101,"Ferdig")/1000 + 3.6</f>
        <v>145.071</v>
      </c>
      <c r="D18" s="23" t="n">
        <f aca="false">IFERROR(C18/$C$23,0)</f>
        <v>0.611600386173635</v>
      </c>
      <c r="E18" s="24" t="n">
        <f aca="false">C18*1000000/$B$5</f>
        <v>50.5473867595819</v>
      </c>
    </row>
    <row r="19" customFormat="false" ht="13.8" hidden="false" customHeight="false" outlineLevel="0" collapsed="false">
      <c r="A19" s="17" t="s">
        <v>14</v>
      </c>
      <c r="B19" s="25" t="n">
        <f aca="false">COUNTIFS(prosjekter!I$2:I$101,"Vestlandet",prosjekter!B$2:B$101,"Ferdig")</f>
        <v>16</v>
      </c>
      <c r="C19" s="22" t="n">
        <f aca="false">SUMIFS(prosjekter!K$2:K$101,prosjekter!I$2:I$101,"Vestlandet",prosjekter!B$2:B$101,"Ferdig")/1000 -2.3</f>
        <v>34.264</v>
      </c>
      <c r="D19" s="23" t="n">
        <f aca="false">IFERROR(C19/$C$23,0)</f>
        <v>0.144452548282244</v>
      </c>
      <c r="E19" s="24" t="n">
        <f aca="false">C19*1000000/$B$6</f>
        <v>24.1295774647887</v>
      </c>
      <c r="L19" s="2" t="s">
        <v>151</v>
      </c>
    </row>
    <row r="20" customFormat="false" ht="13.8" hidden="false" customHeight="false" outlineLevel="0" collapsed="false">
      <c r="A20" s="17" t="s">
        <v>24</v>
      </c>
      <c r="B20" s="25" t="n">
        <f aca="false">COUNTIFS(prosjekter!I$2:I$101,"Nord-Norge",prosjekter!B$2:B$101,"Ferdig")</f>
        <v>13</v>
      </c>
      <c r="C20" s="26" t="n">
        <f aca="false">SUMIFS(prosjekter!K$2:K$101,prosjekter!I$2:I$101,"Nord-Norge",prosjekter!B$2:B$101,"Ferdig")/1000</f>
        <v>28.278</v>
      </c>
      <c r="D20" s="23" t="n">
        <f aca="false">IFERROR(C20/$C23,0)</f>
        <v>0.119216354200481</v>
      </c>
      <c r="E20" s="24" t="n">
        <f aca="false">C20*1000000/$B$7</f>
        <v>58.9125</v>
      </c>
    </row>
    <row r="21" customFormat="false" ht="13.8" hidden="false" customHeight="false" outlineLevel="0" collapsed="false">
      <c r="A21" s="17" t="s">
        <v>60</v>
      </c>
      <c r="B21" s="21" t="n">
        <f aca="false">COUNTIFS(prosjekter!I$2:I$101,"Sørlandet",prosjekter!B$2:B$101,"Ferdig") + 1</f>
        <v>3</v>
      </c>
      <c r="C21" s="22" t="n">
        <f aca="false">SUMIFS(prosjekter!K$2:K$101,prosjekter!I$2:I$101,"Sørlandet",prosjekter!B$2:B$101,"Ferdig")/1000 + 12.8</f>
        <v>20.452</v>
      </c>
      <c r="D21" s="23" t="n">
        <f aca="false">IFERROR(C21/$C$23,0)</f>
        <v>0.0862229604677929</v>
      </c>
      <c r="E21" s="24" t="n">
        <f aca="false">C21*1000000/$B$8</f>
        <v>63.9125</v>
      </c>
    </row>
    <row r="22" customFormat="false" ht="13.8" hidden="false" customHeight="false" outlineLevel="0" collapsed="false">
      <c r="A22" s="17" t="s">
        <v>47</v>
      </c>
      <c r="B22" s="21" t="n">
        <f aca="false">COUNTIFS(prosjekter!I$2:I$101,"Trøndelag",prosjekter!B$2:B$101,"Ferdig") + 1</f>
        <v>5</v>
      </c>
      <c r="C22" s="22" t="n">
        <f aca="false">SUMIFS(prosjekter!K$2:K$101,prosjekter!I$2:I$101,"Trøndelag",prosjekter!B$2:B$101,"Ferdig")/1000 + 2.9</f>
        <v>9.134</v>
      </c>
      <c r="D22" s="23" t="n">
        <f aca="false">IFERROR(C22/$C$23,0)</f>
        <v>0.0385077508758469</v>
      </c>
      <c r="E22" s="24" t="n">
        <f aca="false">C22*1000000/$B$9</f>
        <v>19.0291666666667</v>
      </c>
    </row>
    <row r="23" customFormat="false" ht="13.8" hidden="false" customHeight="false" outlineLevel="0" collapsed="false">
      <c r="A23" s="16" t="s">
        <v>144</v>
      </c>
      <c r="B23" s="20" t="n">
        <f aca="false">SUM(B16:B22)</f>
        <v>71</v>
      </c>
      <c r="C23" s="27" t="n">
        <f aca="false">SUM(C18:C22)</f>
        <v>237.199</v>
      </c>
      <c r="D23" s="28" t="n">
        <f aca="false">SUM(D18:D22)</f>
        <v>1</v>
      </c>
    </row>
    <row r="27" customFormat="false" ht="13.8" hidden="false" customHeight="false" outlineLevel="0" collapsed="false">
      <c r="A27" s="16" t="s">
        <v>152</v>
      </c>
    </row>
    <row r="28" customFormat="false" ht="13.8" hidden="false" customHeight="false" outlineLevel="0" collapsed="false">
      <c r="A28" s="16" t="s">
        <v>146</v>
      </c>
      <c r="B28" s="20" t="s">
        <v>147</v>
      </c>
      <c r="C28" s="16" t="s">
        <v>148</v>
      </c>
      <c r="D28" s="16" t="s">
        <v>149</v>
      </c>
      <c r="E28" s="16" t="s">
        <v>150</v>
      </c>
    </row>
    <row r="29" customFormat="false" ht="13.8" hidden="false" customHeight="false" outlineLevel="0" collapsed="false">
      <c r="A29" s="17" t="s">
        <v>17</v>
      </c>
      <c r="B29" s="25" t="n">
        <f aca="false">COUNTIFS(prosjekter!I$2:I$101,"Østlandet",prosjekter!B$2:B$101,"Ferdig")</f>
        <v>32</v>
      </c>
      <c r="C29" s="26" t="n">
        <f aca="false">SUMIFS(prosjekter!K$2:K$101,prosjekter!I$2:I$101,"Østlandet",prosjekter!B$2:B$101,"Ferdig")/1000</f>
        <v>141.471</v>
      </c>
      <c r="D29" s="23" t="n">
        <f aca="false">IFERROR(C29/$C$34,0)</f>
        <v>0.642468857715067</v>
      </c>
      <c r="E29" s="24" t="n">
        <f aca="false">C29*1000000/$B$5</f>
        <v>49.293031358885</v>
      </c>
    </row>
    <row r="30" customFormat="false" ht="13.8" hidden="false" customHeight="false" outlineLevel="0" collapsed="false">
      <c r="A30" s="17" t="s">
        <v>14</v>
      </c>
      <c r="B30" s="25" t="n">
        <f aca="false">COUNTIFS(prosjekter!I$2:I$101,"Vestlandet",prosjekter!B$2:B$101,"Ferdig")</f>
        <v>16</v>
      </c>
      <c r="C30" s="26" t="n">
        <f aca="false">SUMIFS(prosjekter!K$2:K$101,prosjekter!I$2:I$101,"Vestlandet",prosjekter!B$2:B$101,"Ferdig")/1000</f>
        <v>36.564</v>
      </c>
      <c r="D30" s="23" t="n">
        <f aca="false">IFERROR(C30/$C$34,0)</f>
        <v>0.166049800407813</v>
      </c>
      <c r="E30" s="24" t="n">
        <f aca="false">C30*1000000/$B$6</f>
        <v>25.7492957746479</v>
      </c>
    </row>
    <row r="31" customFormat="false" ht="13.8" hidden="false" customHeight="false" outlineLevel="0" collapsed="false">
      <c r="A31" s="17" t="s">
        <v>24</v>
      </c>
      <c r="B31" s="25" t="n">
        <f aca="false">COUNTIFS(prosjekter!I$2:I$101,"Nord-Norge",prosjekter!B$2:B$101,"Ferdig")</f>
        <v>13</v>
      </c>
      <c r="C31" s="26" t="n">
        <f aca="false">SUMIFS(prosjekter!K$2:K$101,prosjekter!I$2:I$101,"Nord-Norge",prosjekter!B$2:B$101,"Ferdig")/1000</f>
        <v>28.278</v>
      </c>
      <c r="D31" s="23" t="n">
        <f aca="false">IFERROR(C31/$C$34,0)</f>
        <v>0.12842020172662</v>
      </c>
      <c r="E31" s="24" t="n">
        <f aca="false">C31*1000000/$B$7</f>
        <v>58.9125</v>
      </c>
    </row>
    <row r="32" customFormat="false" ht="13.8" hidden="false" customHeight="false" outlineLevel="0" collapsed="false">
      <c r="A32" s="17" t="s">
        <v>60</v>
      </c>
      <c r="B32" s="25" t="n">
        <f aca="false">COUNTIFS(prosjekter!I$2:I$101,"Sørlandet",prosjekter!B$2:B$101,"Ferdig")</f>
        <v>2</v>
      </c>
      <c r="C32" s="26" t="n">
        <f aca="false">SUMIFS(prosjekter!K$2:K$101,prosjekter!I$2:I$101,"Sørlandet",prosjekter!B$2:B$101,"Ferdig")/1000</f>
        <v>7.652</v>
      </c>
      <c r="D32" s="23" t="n">
        <f aca="false">IFERROR(C32/$C$34,0)</f>
        <v>0.0347503848791321</v>
      </c>
      <c r="E32" s="24" t="n">
        <f aca="false">C32*1000000/$B$8</f>
        <v>23.9125</v>
      </c>
    </row>
    <row r="33" customFormat="false" ht="13.8" hidden="false" customHeight="false" outlineLevel="0" collapsed="false">
      <c r="A33" s="17" t="s">
        <v>47</v>
      </c>
      <c r="B33" s="25" t="n">
        <f aca="false">COUNTIFS(prosjekter!I$2:I$101,"Trøndelag",prosjekter!B$2:B$101,"Ferdig")</f>
        <v>4</v>
      </c>
      <c r="C33" s="26" t="n">
        <f aca="false">SUMIFS(prosjekter!K$2:K$101,prosjekter!I$2:I$101,"Trøndelag",prosjekter!B$2:B$101,"Ferdig")/1000</f>
        <v>6.234</v>
      </c>
      <c r="D33" s="23" t="n">
        <f aca="false">IFERROR(C33/$C$34,0)</f>
        <v>0.0283107552713682</v>
      </c>
      <c r="E33" s="24" t="n">
        <f aca="false">C33*1000000/$B$9</f>
        <v>12.9875</v>
      </c>
    </row>
    <row r="34" customFormat="false" ht="13.8" hidden="false" customHeight="false" outlineLevel="0" collapsed="false">
      <c r="A34" s="16" t="s">
        <v>144</v>
      </c>
      <c r="B34" s="20" t="n">
        <f aca="false">SUM(B27:B33)</f>
        <v>67</v>
      </c>
      <c r="C34" s="27" t="n">
        <f aca="false">SUM(C29:C33)</f>
        <v>220.199</v>
      </c>
      <c r="D34" s="28" t="n">
        <f aca="false">SUM(D29:D33)</f>
        <v>1</v>
      </c>
    </row>
    <row r="35" customFormat="false" ht="13.8" hidden="false" customHeight="false" outlineLevel="0" collapsed="false">
      <c r="A35" s="17"/>
      <c r="B35" s="25"/>
      <c r="C35" s="26"/>
      <c r="D35" s="23"/>
    </row>
    <row r="36" customFormat="false" ht="13.8" hidden="false" customHeight="false" outlineLevel="0" collapsed="false">
      <c r="A36" s="16"/>
      <c r="B36" s="20"/>
      <c r="C36" s="27"/>
      <c r="D36" s="28"/>
    </row>
    <row r="39" customFormat="false" ht="13.8" hidden="false" customHeight="false" outlineLevel="0" collapsed="false">
      <c r="A39" s="16" t="s">
        <v>153</v>
      </c>
    </row>
    <row r="40" customFormat="false" ht="13.8" hidden="false" customHeight="false" outlineLevel="0" collapsed="false">
      <c r="A40" s="16" t="s">
        <v>146</v>
      </c>
      <c r="B40" s="20" t="s">
        <v>147</v>
      </c>
      <c r="C40" s="16" t="s">
        <v>148</v>
      </c>
      <c r="D40" s="16" t="s">
        <v>149</v>
      </c>
      <c r="E40" s="16" t="s">
        <v>150</v>
      </c>
    </row>
    <row r="41" customFormat="false" ht="13.8" hidden="false" customHeight="false" outlineLevel="0" collapsed="false">
      <c r="A41" s="17" t="s">
        <v>17</v>
      </c>
      <c r="B41" s="25" t="n">
        <f aca="false">COUNTIFS(prosjekter!I$2:I$101,"Østlandet")</f>
        <v>42</v>
      </c>
      <c r="C41" s="26" t="n">
        <f aca="false">SUMIFS(prosjekter!K$2:K$101,prosjekter!I$2:I$101,"Østlandet")/1000</f>
        <v>232.403</v>
      </c>
      <c r="D41" s="23" t="n">
        <f aca="false">IFERROR(C41/$C$46,0)</f>
        <v>0.476259078315327</v>
      </c>
      <c r="E41" s="24" t="n">
        <f aca="false">C41*1000000/$B$5</f>
        <v>80.9766550522648</v>
      </c>
    </row>
    <row r="42" customFormat="false" ht="13.8" hidden="false" customHeight="false" outlineLevel="0" collapsed="false">
      <c r="A42" s="17" t="s">
        <v>14</v>
      </c>
      <c r="B42" s="25" t="n">
        <f aca="false">COUNTIFS(prosjekter!I$2:I$101,"Vestlandet")</f>
        <v>25</v>
      </c>
      <c r="C42" s="26" t="n">
        <f aca="false">SUMIFS(prosjekter!K$2:K$101,prosjekter!I$2:I$101,"Vestlandet")/1000</f>
        <v>111.911</v>
      </c>
      <c r="D42" s="23" t="n">
        <f aca="false">IFERROR(C42/$C$46,0)</f>
        <v>0.22933709854583</v>
      </c>
      <c r="E42" s="24" t="n">
        <f aca="false">C42*1000000/$B$6</f>
        <v>78.8105633802817</v>
      </c>
    </row>
    <row r="43" customFormat="false" ht="13.8" hidden="false" customHeight="false" outlineLevel="0" collapsed="false">
      <c r="A43" s="17" t="s">
        <v>24</v>
      </c>
      <c r="B43" s="25" t="n">
        <f aca="false">COUNTIFS(prosjekter!I$2:I$101,"Nord-Norge")</f>
        <v>19</v>
      </c>
      <c r="C43" s="26" t="n">
        <f aca="false">SUMIFS(prosjekter!K$2:K$101,prosjekter!I$2:I$101,"Nord-Norge")/1000</f>
        <v>71.787</v>
      </c>
      <c r="D43" s="23" t="n">
        <f aca="false">IFERROR(C43/$C$46,0)</f>
        <v>0.147111743200485</v>
      </c>
      <c r="E43" s="24" t="n">
        <f aca="false">C43*1000000/$B$7</f>
        <v>149.55625</v>
      </c>
    </row>
    <row r="44" customFormat="false" ht="13.8" hidden="false" customHeight="false" outlineLevel="0" collapsed="false">
      <c r="A44" s="17" t="s">
        <v>60</v>
      </c>
      <c r="B44" s="25" t="n">
        <f aca="false">COUNTIFS(prosjekter!I$2:I$101,"Sørlandet")</f>
        <v>5</v>
      </c>
      <c r="C44" s="26" t="n">
        <f aca="false">SUMIFS(prosjekter!K$2:K$101,prosjekter!I$2:I$101,"Sørlandet")/1000</f>
        <v>37.688</v>
      </c>
      <c r="D44" s="23" t="n">
        <f aca="false">IFERROR(C44/$C$46,0)</f>
        <v>0.0772333065560601</v>
      </c>
      <c r="E44" s="24" t="n">
        <f aca="false">C44*1000000/$B$8</f>
        <v>117.775</v>
      </c>
    </row>
    <row r="45" customFormat="false" ht="13.8" hidden="false" customHeight="false" outlineLevel="0" collapsed="false">
      <c r="A45" s="17" t="s">
        <v>47</v>
      </c>
      <c r="B45" s="25" t="n">
        <f aca="false">COUNTIFS(prosjekter!I$2:I$101,"Trøndelag")</f>
        <v>7</v>
      </c>
      <c r="C45" s="26" t="n">
        <f aca="false">SUMIFS(prosjekter!K$2:K$101,prosjekter!I$2:I$101,"Trøndelag")/1000</f>
        <v>34.187</v>
      </c>
      <c r="D45" s="23" t="n">
        <f aca="false">IFERROR(C45/$C$46,0)</f>
        <v>0.0700587733822975</v>
      </c>
      <c r="E45" s="24" t="n">
        <f aca="false">C45*1000000/$B$9</f>
        <v>71.2229166666667</v>
      </c>
    </row>
    <row r="46" customFormat="false" ht="13.8" hidden="false" customHeight="false" outlineLevel="0" collapsed="false">
      <c r="A46" s="16" t="s">
        <v>144</v>
      </c>
      <c r="B46" s="20" t="n">
        <f aca="false">SUM(B39:B45)</f>
        <v>98</v>
      </c>
      <c r="C46" s="27" t="n">
        <f aca="false">SUM(C41:C45)</f>
        <v>487.976</v>
      </c>
      <c r="D46" s="28" t="n">
        <f aca="false">SUM(D41:D45)</f>
        <v>1</v>
      </c>
    </row>
    <row r="50" customFormat="false" ht="13.8" hidden="false" customHeight="false" outlineLevel="0" collapsed="false">
      <c r="A50" s="16" t="s">
        <v>154</v>
      </c>
    </row>
    <row r="51" customFormat="false" ht="13.8" hidden="false" customHeight="false" outlineLevel="0" collapsed="false">
      <c r="A51" s="16" t="s">
        <v>146</v>
      </c>
      <c r="B51" s="20" t="s">
        <v>147</v>
      </c>
      <c r="C51" s="16" t="s">
        <v>148</v>
      </c>
      <c r="D51" s="16" t="s">
        <v>149</v>
      </c>
      <c r="E51" s="16" t="s">
        <v>150</v>
      </c>
    </row>
    <row r="52" customFormat="false" ht="13.8" hidden="false" customHeight="false" outlineLevel="0" collapsed="false">
      <c r="A52" s="17" t="s">
        <v>17</v>
      </c>
      <c r="B52" s="25" t="n">
        <f aca="false">COUNTIFS(prosjekter!I$2:I$101,"Østlandet",prosjekter!B$2:B$101,"Under bygging")</f>
        <v>10</v>
      </c>
      <c r="C52" s="26" t="n">
        <f aca="false">SUMIFS(prosjekter!K$2:K$101,prosjekter!I$2:I$101,"Østlandet",prosjekter!B$2:B$101,"Under bygging")/1000</f>
        <v>90.932</v>
      </c>
      <c r="D52" s="23" t="n">
        <f aca="false">IFERROR(C52/$C$57,0)</f>
        <v>0.339581069322608</v>
      </c>
      <c r="E52" s="24" t="n">
        <f aca="false">C52*1000000/$B$5</f>
        <v>31.6836236933798</v>
      </c>
    </row>
    <row r="53" customFormat="false" ht="13.8" hidden="false" customHeight="false" outlineLevel="0" collapsed="false">
      <c r="A53" s="17" t="s">
        <v>14</v>
      </c>
      <c r="B53" s="25" t="n">
        <f aca="false">COUNTIFS(prosjekter!I$2:I$101,"Vestlandet",prosjekter!B$2:B$101,"Under bygging")</f>
        <v>9</v>
      </c>
      <c r="C53" s="26" t="n">
        <f aca="false">SUMIFS(prosjekter!K$2:K$101,prosjekter!I$2:I$101,"Vestlandet",prosjekter!B$2:B$101,"Under bygging")/1000</f>
        <v>75.347</v>
      </c>
      <c r="D53" s="23" t="n">
        <f aca="false">IFERROR(C53/$C$57,0)</f>
        <v>0.28137965545958</v>
      </c>
      <c r="E53" s="24" t="n">
        <f aca="false">C53*1000000/$B$6</f>
        <v>53.0612676056338</v>
      </c>
    </row>
    <row r="54" customFormat="false" ht="13.8" hidden="false" customHeight="false" outlineLevel="0" collapsed="false">
      <c r="A54" s="17" t="s">
        <v>24</v>
      </c>
      <c r="B54" s="25" t="n">
        <f aca="false">COUNTIFS(prosjekter!I$2:I$101,"Nord-Norge",prosjekter!B$2:B$101,"Under bygging")</f>
        <v>6</v>
      </c>
      <c r="C54" s="26" t="n">
        <f aca="false">SUMIFS(prosjekter!K$2:K$101,prosjekter!I$2:I$101,"Nord-Norge",prosjekter!B$2:B$101,"Under bygging")/1000</f>
        <v>43.509</v>
      </c>
      <c r="D54" s="23" t="n">
        <f aca="false">IFERROR(C54/$C$57,0)</f>
        <v>0.162482214678632</v>
      </c>
      <c r="E54" s="24" t="n">
        <f aca="false">C54*1000000/$B$7</f>
        <v>90.64375</v>
      </c>
    </row>
    <row r="55" customFormat="false" ht="13.8" hidden="false" customHeight="false" outlineLevel="0" collapsed="false">
      <c r="A55" s="17" t="s">
        <v>60</v>
      </c>
      <c r="B55" s="25" t="n">
        <f aca="false">COUNTIFS(prosjekter!I$2:I$101,"Sørlandet",prosjekter!B$2:B$101,"Ferdig")</f>
        <v>2</v>
      </c>
      <c r="C55" s="26" t="n">
        <f aca="false">SUMIFS(prosjekter!K$2:K$101,prosjekter!I$2:I$101,"Sørlandet",prosjekter!B$2:B$101,"Under bygging")/1000</f>
        <v>30.036</v>
      </c>
      <c r="D55" s="23" t="n">
        <f aca="false">IFERROR(C55/$C$57,0)</f>
        <v>0.112167960653828</v>
      </c>
      <c r="E55" s="24" t="n">
        <f aca="false">C55*1000000/$B$8</f>
        <v>93.8625</v>
      </c>
    </row>
    <row r="56" customFormat="false" ht="13.8" hidden="false" customHeight="false" outlineLevel="0" collapsed="false">
      <c r="A56" s="17" t="s">
        <v>47</v>
      </c>
      <c r="B56" s="25" t="n">
        <f aca="false">COUNTIFS(prosjekter!I$2:I$101,"Trøndelag",prosjekter!B$2:B$101,"Under bygging")</f>
        <v>3</v>
      </c>
      <c r="C56" s="26" t="n">
        <f aca="false">SUMIFS(prosjekter!K$2:K$101,prosjekter!I$2:I$101,"Trøndelag",prosjekter!B$2:B$101,"Under bygging")/1000</f>
        <v>27.953</v>
      </c>
      <c r="D56" s="23" t="n">
        <f aca="false">IFERROR(C56/$C$57,0)</f>
        <v>0.104389099885352</v>
      </c>
      <c r="E56" s="24" t="n">
        <f aca="false">C56*1000000/$B$9</f>
        <v>58.2354166666667</v>
      </c>
    </row>
    <row r="57" customFormat="false" ht="13.8" hidden="false" customHeight="false" outlineLevel="0" collapsed="false">
      <c r="A57" s="16" t="s">
        <v>144</v>
      </c>
      <c r="B57" s="20" t="n">
        <f aca="false">SUM(B50:B56)</f>
        <v>30</v>
      </c>
      <c r="C57" s="27" t="n">
        <f aca="false">SUM(C52:C56)</f>
        <v>267.777</v>
      </c>
      <c r="D57" s="28" t="n">
        <f aca="false">SUM(D52:D56)</f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F5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29" activeCellId="0" sqref="F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3"/>
    <col collapsed="false" customWidth="true" hidden="false" outlineLevel="0" max="3" min="3" style="1" width="16.57"/>
    <col collapsed="false" customWidth="true" hidden="false" outlineLevel="0" max="5" min="5" style="1" width="25.79"/>
    <col collapsed="false" customWidth="true" hidden="false" outlineLevel="0" max="6" min="6" style="0" width="33.64"/>
  </cols>
  <sheetData>
    <row r="4" customFormat="false" ht="13.8" hidden="false" customHeight="false" outlineLevel="0" collapsed="false">
      <c r="A4" s="16" t="s">
        <v>143</v>
      </c>
    </row>
    <row r="5" customFormat="false" ht="13.8" hidden="false" customHeight="false" outlineLevel="0" collapsed="false">
      <c r="A5" s="17" t="s">
        <v>17</v>
      </c>
      <c r="B5" s="1" t="n">
        <v>2870000</v>
      </c>
    </row>
    <row r="6" customFormat="false" ht="13.8" hidden="false" customHeight="false" outlineLevel="0" collapsed="false">
      <c r="A6" s="17" t="s">
        <v>14</v>
      </c>
      <c r="B6" s="1" t="n">
        <v>1420000</v>
      </c>
      <c r="C6" s="18"/>
    </row>
    <row r="7" customFormat="false" ht="13.8" hidden="false" customHeight="false" outlineLevel="0" collapsed="false">
      <c r="A7" s="17" t="s">
        <v>24</v>
      </c>
      <c r="B7" s="1" t="n">
        <v>480000</v>
      </c>
      <c r="C7" s="19"/>
    </row>
    <row r="8" customFormat="false" ht="13.8" hidden="false" customHeight="false" outlineLevel="0" collapsed="false">
      <c r="A8" s="17" t="s">
        <v>60</v>
      </c>
      <c r="B8" s="1" t="n">
        <v>320000</v>
      </c>
    </row>
    <row r="9" customFormat="false" ht="13.8" hidden="false" customHeight="false" outlineLevel="0" collapsed="false">
      <c r="A9" s="17" t="s">
        <v>47</v>
      </c>
      <c r="B9" s="1" t="n">
        <v>480000</v>
      </c>
    </row>
    <row r="10" customFormat="false" ht="13.8" hidden="false" customHeight="false" outlineLevel="0" collapsed="false">
      <c r="A10" s="16" t="s">
        <v>144</v>
      </c>
      <c r="B10" s="1" t="n">
        <f aca="false">SUM(B5:B9)</f>
        <v>5570000</v>
      </c>
    </row>
    <row r="13" customFormat="false" ht="12.8" hidden="false" customHeight="false" outlineLevel="0" collapsed="false">
      <c r="A13" s="1" t="s">
        <v>155</v>
      </c>
    </row>
    <row r="14" customFormat="false" ht="13.8" hidden="false" customHeight="false" outlineLevel="0" collapsed="false">
      <c r="A14" s="17" t="s">
        <v>17</v>
      </c>
      <c r="B14" s="0" t="n">
        <v>94585</v>
      </c>
    </row>
    <row r="15" customFormat="false" ht="13.8" hidden="false" customHeight="false" outlineLevel="0" collapsed="false">
      <c r="A15" s="17" t="s">
        <v>14</v>
      </c>
      <c r="B15" s="0" t="n">
        <v>57694</v>
      </c>
    </row>
    <row r="16" customFormat="false" ht="13.8" hidden="false" customHeight="false" outlineLevel="0" collapsed="false">
      <c r="A16" s="17" t="s">
        <v>24</v>
      </c>
      <c r="B16" s="0" t="n">
        <v>112951</v>
      </c>
    </row>
    <row r="17" customFormat="false" ht="13.8" hidden="false" customHeight="false" outlineLevel="0" collapsed="false">
      <c r="A17" s="17" t="s">
        <v>60</v>
      </c>
      <c r="B17" s="0" t="n">
        <v>16434</v>
      </c>
    </row>
    <row r="18" customFormat="false" ht="13.8" hidden="false" customHeight="false" outlineLevel="0" collapsed="false">
      <c r="A18" s="17" t="s">
        <v>47</v>
      </c>
      <c r="B18" s="0" t="n">
        <v>42201</v>
      </c>
    </row>
    <row r="19" customFormat="false" ht="13.8" hidden="false" customHeight="false" outlineLevel="0" collapsed="false">
      <c r="A19" s="16" t="s">
        <v>144</v>
      </c>
      <c r="B19" s="1" t="n">
        <f aca="false">SUM(B14:B18)</f>
        <v>323865</v>
      </c>
    </row>
    <row r="25" customFormat="false" ht="13.8" hidden="false" customHeight="false" outlineLevel="0" collapsed="false">
      <c r="A25" s="16" t="s">
        <v>152</v>
      </c>
    </row>
    <row r="26" customFormat="false" ht="13.8" hidden="false" customHeight="false" outlineLevel="0" collapsed="false">
      <c r="A26" s="16" t="s">
        <v>146</v>
      </c>
      <c r="B26" s="20" t="s">
        <v>147</v>
      </c>
      <c r="C26" s="16" t="s">
        <v>148</v>
      </c>
      <c r="D26" s="16" t="s">
        <v>149</v>
      </c>
      <c r="E26" s="16" t="s">
        <v>150</v>
      </c>
      <c r="F26" s="2" t="s">
        <v>156</v>
      </c>
    </row>
    <row r="27" customFormat="false" ht="13.8" hidden="false" customHeight="false" outlineLevel="0" collapsed="false">
      <c r="A27" s="17" t="s">
        <v>17</v>
      </c>
      <c r="B27" s="25" t="n">
        <f aca="false">COUNTIFS(prosjekter_korrigert!L$2:L$102,"Østlandet",prosjekter_korrigert!B$2:B$102,"Ferdig")</f>
        <v>32</v>
      </c>
      <c r="C27" s="26" t="n">
        <f aca="false">SUMIFS(prosjekter_korrigert!P$2:P$102,prosjekter_korrigert!L$2:L$102,"Østlandet",prosjekter_korrigert!B$2:B$102,"Ferdig")/1000</f>
        <v>159.6175</v>
      </c>
      <c r="D27" s="23" t="n">
        <f aca="false">IFERROR(C27/$C$32,0)</f>
        <v>0.663447470364274</v>
      </c>
      <c r="E27" s="24" t="n">
        <f aca="false">C27*1000000/$B$5</f>
        <v>55.6158536585366</v>
      </c>
      <c r="F27" s="2" t="n">
        <f aca="false">1000 * C27 / $B14</f>
        <v>1.68755616641116</v>
      </c>
    </row>
    <row r="28" customFormat="false" ht="13.8" hidden="false" customHeight="false" outlineLevel="0" collapsed="false">
      <c r="A28" s="17" t="s">
        <v>14</v>
      </c>
      <c r="B28" s="25" t="n">
        <f aca="false">COUNTIFS(prosjekter_korrigert!L$2:L$102,"Vestlandet",prosjekter_korrigert!B$2:B$102,"Ferdig")</f>
        <v>18</v>
      </c>
      <c r="C28" s="26" t="n">
        <f aca="false">SUMIFS(prosjekter_korrigert!P$2:P$102,prosjekter_korrigert!L$2:L$102,"Vestlandet",prosjekter_korrigert!B$2:B$102,"Ferdig")/1000</f>
        <v>38.541</v>
      </c>
      <c r="D28" s="23" t="n">
        <f aca="false">IFERROR(C28/$C$32,0)</f>
        <v>0.160195022195621</v>
      </c>
      <c r="E28" s="24" t="n">
        <f aca="false">C28*1000000/$B$6</f>
        <v>27.1415492957747</v>
      </c>
      <c r="F28" s="2" t="n">
        <f aca="false">1000 * C28 / $B15</f>
        <v>0.668024404617465</v>
      </c>
    </row>
    <row r="29" customFormat="false" ht="13.8" hidden="false" customHeight="false" outlineLevel="0" collapsed="false">
      <c r="A29" s="17" t="s">
        <v>24</v>
      </c>
      <c r="B29" s="25" t="n">
        <f aca="false">COUNTIFS(prosjekter_korrigert!L$2:L$102,"Nord-Norge",prosjekter_korrigert!B$2:B$102,"Ferdig")</f>
        <v>13</v>
      </c>
      <c r="C29" s="26" t="n">
        <f aca="false">SUMIFS(prosjekter_korrigert!P$2:P$102,prosjekter_korrigert!L$2:L$102,"Nord-Norge",prosjekter_korrigert!B$2:B$102,"Ferdig")/1000</f>
        <v>28.278</v>
      </c>
      <c r="D29" s="23" t="n">
        <f aca="false">IFERROR(C29/$C$32,0)</f>
        <v>0.117537034266048</v>
      </c>
      <c r="E29" s="24" t="n">
        <f aca="false">C29*1000000/$B$7</f>
        <v>58.9125</v>
      </c>
      <c r="F29" s="2" t="n">
        <f aca="false">1000 * C29 / $B16</f>
        <v>0.250356349213376</v>
      </c>
    </row>
    <row r="30" customFormat="false" ht="13.8" hidden="false" customHeight="false" outlineLevel="0" collapsed="false">
      <c r="A30" s="17" t="s">
        <v>60</v>
      </c>
      <c r="B30" s="25" t="n">
        <f aca="false">COUNTIFS(prosjekter_korrigert!L$2:L$102,"Sørlandet",prosjekter_korrigert!B$2:B$102,"Ferdig")</f>
        <v>2</v>
      </c>
      <c r="C30" s="26" t="n">
        <f aca="false">SUMIFS(prosjekter_korrigert!P$2:P$102,prosjekter_korrigert!L$2:L$102,"Sørlandet",prosjekter_korrigert!B$2:B$102,"Ferdig")/1000</f>
        <v>7.652</v>
      </c>
      <c r="D30" s="23" t="n">
        <f aca="false">IFERROR(C30/$C$32,0)</f>
        <v>0.0318054100786407</v>
      </c>
      <c r="E30" s="24" t="n">
        <f aca="false">C30*1000000/$B$8</f>
        <v>23.9125</v>
      </c>
      <c r="F30" s="2" t="n">
        <f aca="false">1000 * C30 / $B17</f>
        <v>0.465620055981502</v>
      </c>
    </row>
    <row r="31" customFormat="false" ht="13.8" hidden="false" customHeight="false" outlineLevel="0" collapsed="false">
      <c r="A31" s="17" t="s">
        <v>47</v>
      </c>
      <c r="B31" s="25" t="n">
        <f aca="false">COUNTIFS(prosjekter_korrigert!L$2:L$102,"Trøndelag",prosjekter_korrigert!B$2:B$102,"Ferdig")</f>
        <v>4</v>
      </c>
      <c r="C31" s="26" t="n">
        <f aca="false">SUMIFS(prosjekter_korrigert!P$2:P$102,prosjekter_korrigert!L$2:L$102,"Trøndelag",prosjekter_korrigert!B$2:B$102,"Ferdig")/1000</f>
        <v>6.4995</v>
      </c>
      <c r="D31" s="23" t="n">
        <f aca="false">IFERROR(C31/$C$32,0)</f>
        <v>0.0270150630954162</v>
      </c>
      <c r="E31" s="24" t="n">
        <f aca="false">C31*1000000/$B$9</f>
        <v>13.540625</v>
      </c>
      <c r="F31" s="2" t="n">
        <f aca="false">1000 * C31 / $B18</f>
        <v>0.154012938082036</v>
      </c>
    </row>
    <row r="32" customFormat="false" ht="13.8" hidden="false" customHeight="false" outlineLevel="0" collapsed="false">
      <c r="A32" s="16" t="s">
        <v>144</v>
      </c>
      <c r="B32" s="20" t="n">
        <f aca="false">SUM(B25:B31)</f>
        <v>69</v>
      </c>
      <c r="C32" s="27" t="n">
        <f aca="false">SUM(C27:C31)</f>
        <v>240.588</v>
      </c>
      <c r="D32" s="28" t="n">
        <f aca="false">SUM(D27:D31)</f>
        <v>1</v>
      </c>
    </row>
    <row r="33" customFormat="false" ht="13.8" hidden="false" customHeight="false" outlineLevel="0" collapsed="false">
      <c r="A33" s="17"/>
      <c r="B33" s="25"/>
      <c r="C33" s="26"/>
      <c r="D33" s="23"/>
    </row>
    <row r="34" customFormat="false" ht="13.8" hidden="false" customHeight="false" outlineLevel="0" collapsed="false">
      <c r="A34" s="16"/>
      <c r="B34" s="20"/>
      <c r="C34" s="27"/>
      <c r="D34" s="28"/>
    </row>
    <row r="37" customFormat="false" ht="13.8" hidden="false" customHeight="false" outlineLevel="0" collapsed="false">
      <c r="A37" s="16" t="s">
        <v>153</v>
      </c>
    </row>
    <row r="38" customFormat="false" ht="13.8" hidden="false" customHeight="false" outlineLevel="0" collapsed="false">
      <c r="A38" s="16" t="s">
        <v>146</v>
      </c>
      <c r="B38" s="20" t="s">
        <v>147</v>
      </c>
      <c r="C38" s="16" t="s">
        <v>148</v>
      </c>
      <c r="D38" s="16" t="s">
        <v>149</v>
      </c>
      <c r="E38" s="16" t="s">
        <v>150</v>
      </c>
    </row>
    <row r="39" customFormat="false" ht="13.8" hidden="false" customHeight="false" outlineLevel="0" collapsed="false">
      <c r="A39" s="17" t="s">
        <v>17</v>
      </c>
      <c r="B39" s="25" t="n">
        <f aca="false">COUNTIFS(prosjekter_korrigert!L$2:L$102,"Østlandet")</f>
        <v>43</v>
      </c>
      <c r="C39" s="26" t="n">
        <f aca="false">SUMIFS(prosjekter_korrigert!P$2:P$102,prosjekter_korrigert!L$2:L$102,"Østlandet")/1000</f>
        <v>271.18075</v>
      </c>
      <c r="D39" s="23" t="n">
        <f aca="false">IFERROR(C39/$C$44,0)</f>
        <v>0.517648692591343</v>
      </c>
      <c r="E39" s="24" t="n">
        <f aca="false">C39*1000000/$B$5</f>
        <v>94.4880662020906</v>
      </c>
    </row>
    <row r="40" customFormat="false" ht="13.8" hidden="false" customHeight="false" outlineLevel="0" collapsed="false">
      <c r="A40" s="17" t="s">
        <v>14</v>
      </c>
      <c r="B40" s="25" t="n">
        <f aca="false">COUNTIFS(prosjekter_korrigert!L$2:L$102,"Vestlandet")</f>
        <v>27</v>
      </c>
      <c r="C40" s="26" t="n">
        <f aca="false">SUMIFS(prosjekter_korrigert!P$2:P$102,prosjekter_korrigert!L$2:L$102,"Vestlandet")/1000</f>
        <v>113.888</v>
      </c>
      <c r="D40" s="23" t="n">
        <f aca="false">IFERROR(C40/$C$44,0)</f>
        <v>0.217397342185398</v>
      </c>
      <c r="E40" s="24" t="n">
        <f aca="false">C40*1000000/$B$6</f>
        <v>80.2028169014085</v>
      </c>
    </row>
    <row r="41" customFormat="false" ht="13.8" hidden="false" customHeight="false" outlineLevel="0" collapsed="false">
      <c r="A41" s="17" t="s">
        <v>24</v>
      </c>
      <c r="B41" s="25" t="n">
        <f aca="false">COUNTIFS(prosjekter_korrigert!L$2:L$102,"Nord-Norge")</f>
        <v>19</v>
      </c>
      <c r="C41" s="26" t="n">
        <f aca="false">SUMIFS(prosjekter_korrigert!P$2:P$102,prosjekter_korrigert!L$2:L$102,"Nord-Norge")/1000</f>
        <v>71.787</v>
      </c>
      <c r="D41" s="23" t="n">
        <f aca="false">IFERROR(C41/$C$44,0)</f>
        <v>0.137032022719366</v>
      </c>
      <c r="E41" s="24" t="n">
        <f aca="false">C41*1000000/$B$7</f>
        <v>149.55625</v>
      </c>
    </row>
    <row r="42" customFormat="false" ht="13.8" hidden="false" customHeight="false" outlineLevel="0" collapsed="false">
      <c r="A42" s="17" t="s">
        <v>60</v>
      </c>
      <c r="B42" s="25" t="n">
        <f aca="false">COUNTIFS(prosjekter_korrigert!L$2:L$102,"Sørlandet")</f>
        <v>4</v>
      </c>
      <c r="C42" s="26" t="n">
        <f aca="false">SUMIFS(prosjekter_korrigert!P$2:P$102,prosjekter_korrigert!L$2:L$102,"Sørlandet")/1000</f>
        <v>32.562</v>
      </c>
      <c r="D42" s="23" t="n">
        <f aca="false">IFERROR(C42/$C$44,0)</f>
        <v>0.0621566122527477</v>
      </c>
      <c r="E42" s="24" t="n">
        <f aca="false">C42*1000000/$B$8</f>
        <v>101.75625</v>
      </c>
    </row>
    <row r="43" customFormat="false" ht="13.8" hidden="false" customHeight="false" outlineLevel="0" collapsed="false">
      <c r="A43" s="17" t="s">
        <v>47</v>
      </c>
      <c r="B43" s="25" t="n">
        <f aca="false">COUNTIFS(prosjekter_korrigert!L$2:L$102,"Trøndelag")</f>
        <v>7</v>
      </c>
      <c r="C43" s="26" t="n">
        <f aca="false">SUMIFS(prosjekter_korrigert!P$2:P$102,prosjekter_korrigert!L$2:L$102,"Trøndelag")/1000</f>
        <v>34.4525</v>
      </c>
      <c r="D43" s="23" t="n">
        <f aca="false">IFERROR(C43/$C$44,0)</f>
        <v>0.0657653302511452</v>
      </c>
      <c r="E43" s="24" t="n">
        <f aca="false">C43*1000000/$B$9</f>
        <v>71.7760416666667</v>
      </c>
    </row>
    <row r="44" customFormat="false" ht="13.8" hidden="false" customHeight="false" outlineLevel="0" collapsed="false">
      <c r="A44" s="16" t="s">
        <v>144</v>
      </c>
      <c r="B44" s="20" t="n">
        <f aca="false">SUM(B37:B43)</f>
        <v>100</v>
      </c>
      <c r="C44" s="27" t="n">
        <f aca="false">SUM(C39:C43)</f>
        <v>523.87025</v>
      </c>
      <c r="D44" s="28" t="n">
        <f aca="false">SUM(D39:D43)</f>
        <v>1</v>
      </c>
    </row>
    <row r="48" customFormat="false" ht="13.8" hidden="false" customHeight="false" outlineLevel="0" collapsed="false">
      <c r="A48" s="16" t="s">
        <v>154</v>
      </c>
    </row>
    <row r="49" customFormat="false" ht="13.8" hidden="false" customHeight="false" outlineLevel="0" collapsed="false">
      <c r="A49" s="16" t="s">
        <v>146</v>
      </c>
      <c r="B49" s="20" t="s">
        <v>147</v>
      </c>
      <c r="C49" s="16" t="s">
        <v>148</v>
      </c>
      <c r="D49" s="16" t="s">
        <v>149</v>
      </c>
      <c r="E49" s="16" t="s">
        <v>150</v>
      </c>
    </row>
    <row r="50" customFormat="false" ht="13.8" hidden="false" customHeight="false" outlineLevel="0" collapsed="false">
      <c r="A50" s="17" t="s">
        <v>17</v>
      </c>
      <c r="B50" s="25" t="n">
        <f aca="false">COUNTIFS(prosjekter_korrigert!L$2:L$102,"Østlandet",prosjekter_korrigert!B$2:B$102,"Under bygging")</f>
        <v>11</v>
      </c>
      <c r="C50" s="26" t="n">
        <f aca="false">SUMIFS(prosjekter_korrigert!P$2:P$102,prosjekter_korrigert!L$2:L$102,"Østlandet",prosjekter_korrigert!B$2:B$102,"Under bygging")/1000</f>
        <v>111.56325</v>
      </c>
      <c r="D50" s="23" t="n">
        <f aca="false">IFERROR(C50/$C$55,0)</f>
        <v>0.393823651146516</v>
      </c>
      <c r="E50" s="24" t="n">
        <f aca="false">C50*1000000/$B$5</f>
        <v>38.872212543554</v>
      </c>
    </row>
    <row r="51" customFormat="false" ht="13.8" hidden="false" customHeight="false" outlineLevel="0" collapsed="false">
      <c r="A51" s="17" t="s">
        <v>14</v>
      </c>
      <c r="B51" s="25" t="n">
        <f aca="false">COUNTIFS(prosjekter_korrigert!L$2:L$102,"Vestlandet",prosjekter_korrigert!B$2:B$102,"Under bygging")</f>
        <v>9</v>
      </c>
      <c r="C51" s="26" t="n">
        <f aca="false">SUMIFS(prosjekter_korrigert!P$2:P$102,prosjekter_korrigert!L$2:L$102,"Vestlandet",prosjekter_korrigert!B$2:B$102,"Under bygging")/1000</f>
        <v>75.347</v>
      </c>
      <c r="D51" s="23" t="n">
        <f aca="false">IFERROR(C51/$C$55,0)</f>
        <v>0.265978542601946</v>
      </c>
      <c r="E51" s="24" t="n">
        <f aca="false">C51*1000000/$B$6</f>
        <v>53.0612676056338</v>
      </c>
    </row>
    <row r="52" customFormat="false" ht="13.8" hidden="false" customHeight="false" outlineLevel="0" collapsed="false">
      <c r="A52" s="17" t="s">
        <v>24</v>
      </c>
      <c r="B52" s="25" t="n">
        <f aca="false">COUNTIFS(prosjekter_korrigert!L$2:L$102,"Nord-Norge",prosjekter_korrigert!B$2:B$102,"Under bygging")</f>
        <v>6</v>
      </c>
      <c r="C52" s="26" t="n">
        <f aca="false">SUMIFS(prosjekter_korrigert!P$2:P$102,prosjekter_korrigert!L$2:L$102,"Nord-Norge",prosjekter_korrigert!B$2:B$102,"Under bygging")/1000</f>
        <v>43.509</v>
      </c>
      <c r="D52" s="23" t="n">
        <f aca="false">IFERROR(C52/$C$55,0)</f>
        <v>0.15358886763996</v>
      </c>
      <c r="E52" s="24" t="n">
        <f aca="false">C52*1000000/$B$7</f>
        <v>90.64375</v>
      </c>
    </row>
    <row r="53" customFormat="false" ht="13.8" hidden="false" customHeight="false" outlineLevel="0" collapsed="false">
      <c r="A53" s="17" t="s">
        <v>60</v>
      </c>
      <c r="B53" s="25" t="n">
        <f aca="false">COUNTIFS(prosjekter_korrigert!L$2:L$102,"Sørlandet",prosjekter_korrigert!B$2:B$102,"Ferdig")</f>
        <v>2</v>
      </c>
      <c r="C53" s="26" t="n">
        <f aca="false">SUMIFS(prosjekter_korrigert!P$2:P$102,prosjekter_korrigert!L$2:L$102,"Sørlandet",prosjekter_korrigert!B$2:B$102,"Under bygging")/1000</f>
        <v>24.91</v>
      </c>
      <c r="D53" s="23" t="n">
        <f aca="false">IFERROR(C53/$C$55,0)</f>
        <v>0.0879335009517893</v>
      </c>
      <c r="E53" s="24" t="n">
        <f aca="false">C53*1000000/$B$8</f>
        <v>77.84375</v>
      </c>
    </row>
    <row r="54" customFormat="false" ht="13.8" hidden="false" customHeight="false" outlineLevel="0" collapsed="false">
      <c r="A54" s="17" t="s">
        <v>47</v>
      </c>
      <c r="B54" s="25" t="n">
        <f aca="false">COUNTIFS(prosjekter_korrigert!L$2:L$102,"Trøndelag",prosjekter_korrigert!B$2:B$102,"Under bygging")</f>
        <v>3</v>
      </c>
      <c r="C54" s="26" t="n">
        <f aca="false">SUMIFS(prosjekter_korrigert!P$2:P$102,prosjekter_korrigert!L$2:L$102,"Trøndelag",prosjekter_korrigert!B$2:B$102,"Under bygging")/1000</f>
        <v>27.953</v>
      </c>
      <c r="D54" s="23" t="n">
        <f aca="false">IFERROR(C54/$C$55,0)</f>
        <v>0.0986754376597898</v>
      </c>
      <c r="E54" s="24" t="n">
        <f aca="false">C54*1000000/$B$9</f>
        <v>58.2354166666667</v>
      </c>
    </row>
    <row r="55" customFormat="false" ht="13.8" hidden="false" customHeight="false" outlineLevel="0" collapsed="false">
      <c r="A55" s="16" t="s">
        <v>144</v>
      </c>
      <c r="B55" s="20" t="n">
        <f aca="false">SUM(B48:B54)</f>
        <v>31</v>
      </c>
      <c r="C55" s="27" t="n">
        <f aca="false">SUM(C50:C54)</f>
        <v>283.28225</v>
      </c>
      <c r="D55" s="28" t="n">
        <f aca="false">SUM(D50:D54)</f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9" activeCellId="0" sqref="L49"/>
    </sheetView>
  </sheetViews>
  <sheetFormatPr defaultColWidth="11.53515625" defaultRowHeight="12.8" zeroHeight="false" outlineLevelRow="0" outlineLevelCol="0"/>
  <cols>
    <col collapsed="false" customWidth="true" hidden="false" outlineLevel="0" max="12" min="12" style="0" width="131.6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2026-05-21T21:51:21Z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